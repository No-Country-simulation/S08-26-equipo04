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2026\simulacion\S08-26-equipo04\docs\qa\"/>
    </mc:Choice>
  </mc:AlternateContent>
  <xr:revisionPtr revIDLastSave="0" documentId="8_{FC5AEAE4-5443-4570-B7A3-2023F3E9308D}" xr6:coauthVersionLast="47" xr6:coauthVersionMax="47" xr10:uidLastSave="{00000000-0000-0000-0000-000000000000}"/>
  <bookViews>
    <workbookView xWindow="-120" yWindow="-120" windowWidth="29040" windowHeight="15840" tabRatio="500" xr2:uid="{00000000-000D-0000-FFFF-FFFF00000000}"/>
  </bookViews>
  <sheets>
    <sheet name="TEST-CASE" sheetId="1" r:id="rId1"/>
    <sheet name="LISTAS" sheetId="2" r:id="rId2"/>
    <sheet name="RESUMEN" sheetId="3" r:id="rId3"/>
  </sheets>
  <definedNames>
    <definedName name="_xlnm._FilterDatabase" localSheetId="0" hidden="1">'TEST-CASE'!$A$2:$Z$52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3" l="1"/>
  <c r="B24" i="3"/>
  <c r="B23" i="3"/>
  <c r="B22" i="3"/>
  <c r="B21" i="3"/>
  <c r="B20" i="3"/>
  <c r="B19" i="3"/>
  <c r="B16" i="3"/>
  <c r="B15" i="3"/>
  <c r="B14" i="3"/>
  <c r="B13" i="3"/>
  <c r="F10" i="3"/>
  <c r="E10" i="3"/>
  <c r="D10" i="3"/>
  <c r="C10" i="3"/>
  <c r="B10" i="3"/>
  <c r="F9" i="3"/>
  <c r="E9" i="3"/>
  <c r="D9" i="3"/>
  <c r="C9" i="3"/>
  <c r="B9" i="3"/>
  <c r="F8" i="3"/>
  <c r="E8" i="3"/>
  <c r="D8" i="3"/>
  <c r="C8" i="3"/>
  <c r="B8" i="3"/>
  <c r="F7" i="3"/>
  <c r="E7" i="3"/>
  <c r="D7" i="3"/>
  <c r="C7" i="3"/>
  <c r="B7" i="3"/>
  <c r="F6" i="3"/>
  <c r="E6" i="3"/>
  <c r="D6" i="3"/>
  <c r="C6" i="3"/>
  <c r="B6" i="3"/>
  <c r="F5" i="3"/>
  <c r="E5" i="3"/>
  <c r="D5" i="3"/>
  <c r="C5" i="3"/>
  <c r="B5" i="3"/>
  <c r="F4" i="3"/>
  <c r="E4" i="3"/>
  <c r="D4" i="3"/>
  <c r="C4" i="3"/>
  <c r="B4" i="3"/>
</calcChain>
</file>

<file path=xl/sharedStrings.xml><?xml version="1.0" encoding="utf-8"?>
<sst xmlns="http://schemas.openxmlformats.org/spreadsheetml/2006/main" count="1160" uniqueCount="524">
  <si>
    <t>EPICS</t>
  </si>
  <si>
    <t>EPIC DESCRIPTION</t>
  </si>
  <si>
    <t>REQUERIMIENTO</t>
  </si>
  <si>
    <t>FEATURES</t>
  </si>
  <si>
    <t>FEATURE DESCRIPTION</t>
  </si>
  <si>
    <t>USER STORY</t>
  </si>
  <si>
    <t>SCENARIO</t>
  </si>
  <si>
    <t>ID TC</t>
  </si>
  <si>
    <t>ID EP</t>
  </si>
  <si>
    <t>ID F</t>
  </si>
  <si>
    <t>ID US</t>
  </si>
  <si>
    <t>Title</t>
  </si>
  <si>
    <t>Description</t>
  </si>
  <si>
    <t>Priority</t>
  </si>
  <si>
    <t>Type</t>
  </si>
  <si>
    <t>Pre-requisites</t>
  </si>
  <si>
    <t>Test Data</t>
  </si>
  <si>
    <t>Acceptance Criteria</t>
  </si>
  <si>
    <t>Steps</t>
  </si>
  <si>
    <t>Expected Result</t>
  </si>
  <si>
    <t>Result</t>
  </si>
  <si>
    <t>Status</t>
  </si>
  <si>
    <t>Evidence</t>
  </si>
  <si>
    <t>Comments</t>
  </si>
  <si>
    <t>Defect ID</t>
  </si>
  <si>
    <t>Severity</t>
  </si>
  <si>
    <t>Épica 1 — Vendedor</t>
  </si>
  <si>
    <t>Circuito comercial del Vendedor: registro de solicitudes y gestión de cotizaciones derivadas.</t>
  </si>
  <si>
    <t>FUNCIONAL</t>
  </si>
  <si>
    <t>Levantar pedido</t>
  </si>
  <si>
    <t>Registro de la solicitud que inicia el circuito comercial, incluyendo cliente y documentación.</t>
  </si>
  <si>
    <t>Como Vendedor quiero registrar una solicitud para iniciar el proceso comercial</t>
  </si>
  <si>
    <t>Dado que el Vendedor está autenticado
Cuando completa los datos obligatorios y opcionales válidos y guarda
Entonces la solicitud se registra correctamente</t>
  </si>
  <si>
    <t>TC-A-1.1-01</t>
  </si>
  <si>
    <t>EP-01</t>
  </si>
  <si>
    <t>F-01</t>
  </si>
  <si>
    <t>US-1.1</t>
  </si>
  <si>
    <t>Registrar solicitud con datos válidos</t>
  </si>
  <si>
    <t>Registrar una solicitud utilizando los datos obligatorios y datos opcionales válidos.</t>
  </si>
  <si>
    <t>HIGH</t>
  </si>
  <si>
    <t>FUNCTIONAL</t>
  </si>
  <si>
    <t>Usuario Vendedor autenticado.</t>
  </si>
  <si>
    <t>Razón social, dirección y teléfono válidos; descripción de pieza/trabajo; cantidad &gt; 0.</t>
  </si>
  <si>
    <t>La solicitud debe registrarse correctamente.</t>
  </si>
  <si>
    <t>1. Ingresar los datos del cliente.
2. Ingresar la descripción de pieza/trabajo.
3. Informar la cantidad.
4. Guardar la solicitud.</t>
  </si>
  <si>
    <t>La solicitud se crea correctamente y queda disponible para continuar el circuito comercial.</t>
  </si>
  <si>
    <t>NOT RUN</t>
  </si>
  <si>
    <t>Dado que el Vendedor no informa la razón social
Cuando intenta guardar la solicitud
Entonces el sistema no debe registrarla</t>
  </si>
  <si>
    <t>TC-A-1.1-02</t>
  </si>
  <si>
    <t>Registrar solicitud sin razón social</t>
  </si>
  <si>
    <t>Intentar registrar una solicitud sin informar la razón social.</t>
  </si>
  <si>
    <t>NEGATIVE</t>
  </si>
  <si>
    <t>Razón social vacía; demás datos válidos.</t>
  </si>
  <si>
    <t>La razón social es obligatoria.</t>
  </si>
  <si>
    <t>1. Completar los campos restantes.
2. Dejar la razón social vacía.
3. Intentar guardar.</t>
  </si>
  <si>
    <t>El sistema impide registrar la solicitud y solicita completar la razón social.</t>
  </si>
  <si>
    <t>Dado que la dirección es un campo opcional
Cuando el Vendedor guarda la solicitud sin informarla
Entonces la solicitud se registra correctamente</t>
  </si>
  <si>
    <t>TC-A-1.1-03</t>
  </si>
  <si>
    <t>Registrar solicitud sin dirección</t>
  </si>
  <si>
    <t>Registrar una solicitud sin informar dirección.</t>
  </si>
  <si>
    <t>MEDIUM</t>
  </si>
  <si>
    <t>Razón social válida; dirección vacía; teléfono válido; demás datos válidos.</t>
  </si>
  <si>
    <t>La dirección es opcional en el diseño actual.</t>
  </si>
  <si>
    <t>1. Completar los campos restantes.
2. Dejar la dirección vacía.
3. Guardar.</t>
  </si>
  <si>
    <t>La solicitud se registra correctamente sin dirección.</t>
  </si>
  <si>
    <t>Posible mejora futura — evaluar si debería pasar a ser obligatorio.</t>
  </si>
  <si>
    <t>Dado que el teléfono es un campo opcional
Cuando el Vendedor guarda la solicitud sin informarlo
Entonces la solicitud se registra correctamente</t>
  </si>
  <si>
    <t>TC-A-1.1-04</t>
  </si>
  <si>
    <t>Registrar solicitud sin teléfono</t>
  </si>
  <si>
    <t>Registrar una solicitud sin informar teléfono.</t>
  </si>
  <si>
    <t>Razón social válida; teléfono vacío; dirección válida; demás datos válidos.</t>
  </si>
  <si>
    <t>El teléfono es opcional en el diseño actual.</t>
  </si>
  <si>
    <t>1. Completar los campos restantes.
2. Dejar el teléfono vacío.
3. Guardar.</t>
  </si>
  <si>
    <t>La solicitud se registra correctamente sin teléfono.</t>
  </si>
  <si>
    <t>Dado que el Vendedor no informa la descripción de pieza/trabajo
Cuando intenta guardar la solicitud
Entonces el sistema no debe registrarla</t>
  </si>
  <si>
    <t>TC-A-1.1-05</t>
  </si>
  <si>
    <t>Registrar solicitud sin descripción de pieza/trabajo</t>
  </si>
  <si>
    <t>Intentar registrar una solicitud sin descripción de la pieza o trabajo.</t>
  </si>
  <si>
    <t>Descripción vacía; demás datos válidos.</t>
  </si>
  <si>
    <t>La descripción es obligatoria.</t>
  </si>
  <si>
    <t>1. Completar los datos del cliente.
2. Dejar la descripción vacía.
3. Informar la cantidad.
4. Intentar guardar.</t>
  </si>
  <si>
    <t>El sistema impide registrar la solicitud.</t>
  </si>
  <si>
    <t>Dado que el Vendedor no informa la cantidad
Cuando intenta guardar la solicitud
Entonces el sistema no debe registrarla</t>
  </si>
  <si>
    <t>TC-A-1.1-06</t>
  </si>
  <si>
    <t>Registrar solicitud sin cantidad</t>
  </si>
  <si>
    <t>Intentar registrar una solicitud sin informar cantidad.</t>
  </si>
  <si>
    <t>Cantidad vacía; demás datos válidos.</t>
  </si>
  <si>
    <t>La cantidad es obligatoria.</t>
  </si>
  <si>
    <t>1. Completar los datos obligatorios del cliente.
2. Informar la descripción.
3. Dejar la cantidad vacía.
4. Intentar guardar.</t>
  </si>
  <si>
    <t>Dado que el Vendedor informa una cantidad igual a 0
Cuando intenta guardar la solicitud
Entonces el sistema rechaza el valor</t>
  </si>
  <si>
    <t>TC-A-1.1-07</t>
  </si>
  <si>
    <t>Registrar solicitud con cantidad 0</t>
  </si>
  <si>
    <t>Intentar registrar una solicitud con cantidad igual a cero.</t>
  </si>
  <si>
    <t>VALIDATION</t>
  </si>
  <si>
    <t>Cantidad = 0.</t>
  </si>
  <si>
    <t>La cantidad debe ser mayor que 0.</t>
  </si>
  <si>
    <t>1. Completar los datos obligatorios.
2. Informar cantidad = 0.
3. Intentar guardar.</t>
  </si>
  <si>
    <t>El sistema rechaza el valor y no registra la solicitud.</t>
  </si>
  <si>
    <t>Dado que el Vendedor informa una cantidad negativa
Cuando intenta guardar la solicitud
Entonces el sistema rechaza el valor</t>
  </si>
  <si>
    <t>TC-A-1.1-08</t>
  </si>
  <si>
    <t>Registrar solicitud con cantidad negativa</t>
  </si>
  <si>
    <t>Intentar registrar una solicitud con cantidad menor que cero.</t>
  </si>
  <si>
    <t>Cantidad = -1.</t>
  </si>
  <si>
    <t>1. Completar los datos obligatorios.
2. Informar cantidad = -1.
3. Intentar guardar.</t>
  </si>
  <si>
    <t>Dado que el Vendedor informa una cantidad mayor que 0
Cuando guarda la solicitud
Entonces la solicitud se registra correctamente</t>
  </si>
  <si>
    <t>TC-A-1.1-09</t>
  </si>
  <si>
    <t>Registrar solicitud con cantidad mayor que 0</t>
  </si>
  <si>
    <t>Registrar una solicitud con cantidad válida.</t>
  </si>
  <si>
    <t>Cantidad &gt; 0.</t>
  </si>
  <si>
    <t>La cantidad válida permite registrar la solicitud.</t>
  </si>
  <si>
    <t>1. Completar los datos obligatorios.
2. Informar una cantidad mayor que 0.
3. Guardar.</t>
  </si>
  <si>
    <t>La solicitud se registra correctamente.</t>
  </si>
  <si>
    <t>Dado que la solicitud fue registrada
Cuando se consulta su estado
Entonces figura en PENDIENTE_COTIZACION</t>
  </si>
  <si>
    <t>TC-A-1.1-10</t>
  </si>
  <si>
    <t>Verificar estado inicial de la solicitud</t>
  </si>
  <si>
    <t>Comprobar el estado asignado al registrar la solicitud.</t>
  </si>
  <si>
    <t>Solicitud registrada correctamente.</t>
  </si>
  <si>
    <t>Solicitud válida.</t>
  </si>
  <si>
    <t>El estado inicial debe ser PENDIENTE_COTIZACION.</t>
  </si>
  <si>
    <t>1. Registrar la solicitud.
2. Consultar su estado.</t>
  </si>
  <si>
    <t>La solicitud queda en estado PENDIENTE_COTIZACION.</t>
  </si>
  <si>
    <t>Dado que la solicitud fue registrada
Cuando se la consulta posteriormente
Entonces sus datos se conservan sin alteraciones</t>
  </si>
  <si>
    <t>TC-A-1.1-11</t>
  </si>
  <si>
    <t>Verificar persistencia de la solicitud</t>
  </si>
  <si>
    <t>Consultar nuevamente la solicitud luego de su registro.</t>
  </si>
  <si>
    <t>INTEGRATION</t>
  </si>
  <si>
    <t>Solicitud registrada.</t>
  </si>
  <si>
    <t>Datos de solicitud válida.</t>
  </si>
  <si>
    <t>Los datos registrados deben conservarse.</t>
  </si>
  <si>
    <t>1. Registrar la solicitud.
2. Consultar la solicitud posteriormente.
3. Comparar los datos registrados.</t>
  </si>
  <si>
    <t>La solicitud permanece disponible con sus datos correctamente almacenados.</t>
  </si>
  <si>
    <t>Dado que el cliente ya existe en el sistema
Cuando el Vendedor registra la solicitud con ese cliente
Entonces la solicitud queda asociada al cliente existente</t>
  </si>
  <si>
    <t>TC-A-1.1-12</t>
  </si>
  <si>
    <t>Registrar solicitud con cliente existente</t>
  </si>
  <si>
    <t>Registrar una solicitud utilizando un cliente_id existente.</t>
  </si>
  <si>
    <t>Usuario Vendedor autenticado; cliente existente.</t>
  </si>
  <si>
    <t>cliente_id válido y existente.</t>
  </si>
  <si>
    <t>El cliente existente puede asociarse a la solicitud.</t>
  </si>
  <si>
    <t>1. Seleccionar un cliente existente.
2. Completar descripción y cantidad.
3. Guardar la solicitud.</t>
  </si>
  <si>
    <t>La solicitud se registra asociada al cliente correspondiente.</t>
  </si>
  <si>
    <t>Dado que se referencia un cliente_id inexistente
Cuando se intenta registrar la solicitud
Entonces el sistema rechaza la asociación</t>
  </si>
  <si>
    <t>TC-A-1.1-13</t>
  </si>
  <si>
    <t>Registrar solicitud con cliente inexistente</t>
  </si>
  <si>
    <t>Intentar registrar una solicitud utilizando un cliente_id inexistente.</t>
  </si>
  <si>
    <t>cliente_id inexistente.</t>
  </si>
  <si>
    <t>No debe asociarse una solicitud a un cliente inexistente.</t>
  </si>
  <si>
    <t>1. Referenciar un cliente_id inexistente.
2. Completar descripción y cantidad.
3. Intentar guardar.</t>
  </si>
  <si>
    <t>El sistema rechaza la asociación y no registra la solicitud con ese cliente.</t>
  </si>
  <si>
    <t>Confirmar el mensaje de validación esperado.</t>
  </si>
  <si>
    <t>Dado que el Vendedor adjunta documentación válida
Cuando guarda la solicitud
Entonces el archivo queda asociado a la solicitud</t>
  </si>
  <si>
    <t>TC-A-1.1-14</t>
  </si>
  <si>
    <t>Registrar solicitud con documentación válida</t>
  </si>
  <si>
    <t>Registrar una solicitud adjuntando documentación válida.</t>
  </si>
  <si>
    <t>Archivo de documentación válido según reglas del sistema.</t>
  </si>
  <si>
    <t>La documentación válida puede asociarse a la solicitud.</t>
  </si>
  <si>
    <t>1. Completar los datos obligatorios.
2. Adjuntar la documentación válida.
3. Guardar la solicitud.
4. Consultar la solicitud y verificar el adjunto.</t>
  </si>
  <si>
    <t>La solicitud se registra y la documentación queda asociada correctamente.</t>
  </si>
  <si>
    <t>Confirmar formatos permitidos y tamaño máximo según implementación.</t>
  </si>
  <si>
    <t>Dado que el Vendedor intenta adjuntar un archivo no permitido
Cuando guarda la solicitud
Entonces el archivo no debe aceptarse</t>
  </si>
  <si>
    <t>TC-A-1.1-15</t>
  </si>
  <si>
    <t>Registrar solicitud con archivo no permitido</t>
  </si>
  <si>
    <t>Intentar adjuntar un archivo que no cumpla las reglas permitidas.</t>
  </si>
  <si>
    <t>Archivo no permitido.</t>
  </si>
  <si>
    <t>El archivo no permitido no debe ser aceptado.</t>
  </si>
  <si>
    <t>1. Completar los datos obligatorios.
2. Intentar adjuntar un archivo no permitido.
3. Intentar guardar.</t>
  </si>
  <si>
    <t>El sistema rechaza el archivo y evita asociarlo a la solicitud.</t>
  </si>
  <si>
    <t>Dado que el Vendedor no adjunta documentación
Cuando guarda la solicitud con el resto de los datos válidos
Entonces la solicitud se registra sin adjuntos</t>
  </si>
  <si>
    <t>TC-A-1.1-16</t>
  </si>
  <si>
    <t>Registrar solicitud sin documentación</t>
  </si>
  <si>
    <t>Registrar una solicitud sin adjuntar documentación.</t>
  </si>
  <si>
    <t>Sin archivo adjunto; demás datos válidos.</t>
  </si>
  <si>
    <t>Verificar comportamiento cuando no se adjunta documentación.</t>
  </si>
  <si>
    <t>1. Completar los datos obligatorios.
2. No adjuntar ningún archivo.
3. Guardar la solicitud.</t>
  </si>
  <si>
    <t>La solicitud se registra si la documentación no es obligatoria.</t>
  </si>
  <si>
    <t>Confirmar si el adjunto es obligatorio; si lo fuera, este caso pasa a NEGATIVE.</t>
  </si>
  <si>
    <t>Épica 5 — Gerente</t>
  </si>
  <si>
    <t>Configuración global del catálogo de fases y de los operarios elegibles para ejecutarlas.</t>
  </si>
  <si>
    <t>Configuración global de fases</t>
  </si>
  <si>
    <t>Catálogo global de fases y elegibilidad de operarios por fase.</t>
  </si>
  <si>
    <t>Como Gerente quiero configurar el catálogo global de fases y sus operarios elegibles para que la OT asigne correctamente la primera fase</t>
  </si>
  <si>
    <t>Dado que el Gerente está autenticado
Cuando accede al catálogo global de fases
Entonces puede consultar las fases configuradas</t>
  </si>
  <si>
    <t>TC-A-5.1-01</t>
  </si>
  <si>
    <t>EP-05</t>
  </si>
  <si>
    <t>F-02</t>
  </si>
  <si>
    <t>US-5.1</t>
  </si>
  <si>
    <t>Consultar catálogo de fases</t>
  </si>
  <si>
    <t>El Gerente consulta el catálogo global de fases.</t>
  </si>
  <si>
    <t>Usuario Gerente autenticado.</t>
  </si>
  <si>
    <t>Catálogo existente.</t>
  </si>
  <si>
    <t>El Gerente puede consultar las fases configuradas.</t>
  </si>
  <si>
    <t>1. Ingresar como Gerente.
2. Acceder al catálogo de fases.</t>
  </si>
  <si>
    <t>Se muestra el catálogo disponible.</t>
  </si>
  <si>
    <t>Dado que el Gerente accede al catálogo
Cuando configura una fase y guarda
Entonces la configuración queda registrada</t>
  </si>
  <si>
    <t>TC-A-5.1-02</t>
  </si>
  <si>
    <t>Configurar fase</t>
  </si>
  <si>
    <t>El Gerente configura una fase del catálogo.</t>
  </si>
  <si>
    <t>Fase válida.</t>
  </si>
  <si>
    <t>El Gerente puede configurar una fase.</t>
  </si>
  <si>
    <t>1. Acceder al catálogo.
2. Seleccionar una fase.
3. Configurar los datos correspondientes.
4. Guardar.</t>
  </si>
  <si>
    <t>La configuración se guarda correctamente.</t>
  </si>
  <si>
    <t>Dado que existe una fase configurada y operarios disponibles
Cuando el Gerente define los operarios elegibles y guarda
Entonces la fase queda asociada a esos operarios</t>
  </si>
  <si>
    <t>TC-A-5.1-03</t>
  </si>
  <si>
    <t>Configurar operarios elegibles para una fase</t>
  </si>
  <si>
    <t>El Gerente define qué operarios pueden ejecutar una fase.</t>
  </si>
  <si>
    <t>Usuario Gerente autenticado; fase configurada.</t>
  </si>
  <si>
    <t>Fase + operario/s elegibles.</t>
  </si>
  <si>
    <t>La configuración de elegibilidad queda registrada.</t>
  </si>
  <si>
    <t>1. Seleccionar una fase.
2. Consultar los operarios disponibles.
3. Definir los operarios elegibles.
4. Guardar.</t>
  </si>
  <si>
    <t>La fase queda asociada a los operarios seleccionados.</t>
  </si>
  <si>
    <t>Dado que la fase tiene operarios elegibles configurados
Cuando se consultan los ejecutores posibles
Entonces el operario habilitado aparece como elegible</t>
  </si>
  <si>
    <t>TC-A-5.1-04</t>
  </si>
  <si>
    <t>Verificar operario habilitado para una fase</t>
  </si>
  <si>
    <t>Verificar que un operario configurado como elegible pueda recibir la fase correspondiente.</t>
  </si>
  <si>
    <t>Fase configurada; operario habilitado.</t>
  </si>
  <si>
    <t>Fase + operario habilitado.</t>
  </si>
  <si>
    <t>Un operario habilitado puede recibir la fase.</t>
  </si>
  <si>
    <t>1. Seleccionar la fase.
2. Consultar los operarios elegibles.
3. Verificar la presencia del operario habilitado.</t>
  </si>
  <si>
    <t>El operario habilitado aparece como elegible para la fase.</t>
  </si>
  <si>
    <t>Dado que la fase tiene definidos sus operarios elegibles
Cuando se consulta un operario no habilitado
Entonces no debe figurar como elegible para esa fase</t>
  </si>
  <si>
    <t>TC-A-5.1-05</t>
  </si>
  <si>
    <t>Verificar operario no habilitado para una fase</t>
  </si>
  <si>
    <t>Verificar que un operario no configurado como elegible no pueda recibir la fase.</t>
  </si>
  <si>
    <t>Fase configurada; operario no habilitado.</t>
  </si>
  <si>
    <t>Fase + operario no habilitado.</t>
  </si>
  <si>
    <t>Un operario no habilitado no debe resultar elegible.</t>
  </si>
  <si>
    <t>1. Consultar la configuración de la fase.
2. Identificar un operario no habilitado.
3. Verificar su elegibilidad para la fase.</t>
  </si>
  <si>
    <t>El operario no habilitado no aparece como elegible para esa fase.</t>
  </si>
  <si>
    <t>Dado que el catálogo está configurado
Cuando el Jefe accede a la consulta del catálogo
Entonces puede ver las fases disponibles para seleccionar</t>
  </si>
  <si>
    <t>TC-A-5.1-06</t>
  </si>
  <si>
    <t>Jefe consulta catálogo de fases</t>
  </si>
  <si>
    <t>El Jefe de producción consulta las fases disponibles para una cotización.</t>
  </si>
  <si>
    <t>Usuario Jefe de producción autenticado; catálogo configurado.</t>
  </si>
  <si>
    <t>Catálogo de fases.</t>
  </si>
  <si>
    <t>El Jefe puede consultar el catálogo.</t>
  </si>
  <si>
    <t>1. Ingresar como Jefe de producción.
2. Acceder a la consulta del catálogo de fases.</t>
  </si>
  <si>
    <t>Se muestran las fases disponibles para seleccionar.</t>
  </si>
  <si>
    <t>Épica 2 — Jefe de Producción</t>
  </si>
  <si>
    <t>Recepción de la solicitud y armado de la cotización con las fases que componen la futura OT.</t>
  </si>
  <si>
    <t>Recepción de cotización</t>
  </si>
  <si>
    <t>Selección de fases, orden, repetición, tiempos estimados, precio final y generación de la cotización.</t>
  </si>
  <si>
    <t>Como Jefe de Producción quiero recibir la solicitud y preparar la cotización con las fases necesarias para definir la futura OT</t>
  </si>
  <si>
    <t>Dado que existe una solicitud en PENDIENTE_COTIZACION
Cuando el Jefe la consulta
Entonces puede ver los datos necesarios para cotizar</t>
  </si>
  <si>
    <t>TC-A-2.1-01</t>
  </si>
  <si>
    <t>EP-02</t>
  </si>
  <si>
    <t>F-03</t>
  </si>
  <si>
    <t>US-2.1</t>
  </si>
  <si>
    <t>Consultar solicitud para cotizar</t>
  </si>
  <si>
    <t>El Jefe consulta una solicitud pendiente de cotización.</t>
  </si>
  <si>
    <t>Solicitud en PENDIENTE_COTIZACION.</t>
  </si>
  <si>
    <t>El Jefe puede consultar la solicitud.</t>
  </si>
  <si>
    <t>1. Ingresar como Jefe.
2. Consultar las solicitudes pendientes de cotización.
3. Seleccionar la solicitud.</t>
  </si>
  <si>
    <t>Se muestran los datos necesarios para preparar la cotización.</t>
  </si>
  <si>
    <t>Dado que el Jefe abrió una solicitud a cotizar
Cuando selecciona las fases necesarias
Entonces quedan asociadas a la cotización</t>
  </si>
  <si>
    <t>TC-A-2.1-02</t>
  </si>
  <si>
    <t>Seleccionar fases</t>
  </si>
  <si>
    <t>Seleccionar las fases necesarias para ejecutar el trabajo.</t>
  </si>
  <si>
    <t>Solicitud disponible; fases configuradas.</t>
  </si>
  <si>
    <t>Una o más fases.</t>
  </si>
  <si>
    <t>Las fases seleccionadas quedan asociadas a la cotización.</t>
  </si>
  <si>
    <t>1. Abrir la solicitud.
2. Consultar el catálogo de fases.
3. Seleccionar las fases necesarias.</t>
  </si>
  <si>
    <t>Las fases seleccionadas se registran correctamente.</t>
  </si>
  <si>
    <t>Dado que la cotización tiene varias fases seleccionadas
Cuando el Jefe define el orden de ejecución y guarda
Entonces las fases quedan en ese orden</t>
  </si>
  <si>
    <t>TC-A-2.1-03</t>
  </si>
  <si>
    <t>Definir orden de fases</t>
  </si>
  <si>
    <t>Establecer el orden de ejecución de las fases.</t>
  </si>
  <si>
    <t>Fases seleccionadas.</t>
  </si>
  <si>
    <t>Orden válido.</t>
  </si>
  <si>
    <t>El Jefe puede definir el orden de las fases.</t>
  </si>
  <si>
    <t>1. Seleccionar varias fases.
2. Definir el orden de ejecución.
3. Guardar.</t>
  </si>
  <si>
    <t>El orden queda registrado correctamente.</t>
  </si>
  <si>
    <t>Dado que una fase puede repetirse dentro del circuito
Cuando el Jefe la incorpora más de una vez
Entonces la secuencia admite la repetición</t>
  </si>
  <si>
    <t>TC-A-2.1-04</t>
  </si>
  <si>
    <t>Repetir una fase</t>
  </si>
  <si>
    <t>Incluir una misma fase más de una vez en la secuencia.</t>
  </si>
  <si>
    <t>Fase disponible.</t>
  </si>
  <si>
    <t>Fase repetida.</t>
  </si>
  <si>
    <t>El mismo tipo de fase puede repetirse.</t>
  </si>
  <si>
    <t>1. Seleccionar una fase.
2. Incorporar nuevamente la misma fase.
3. Definir el orden.
4. Guardar.</t>
  </si>
  <si>
    <t>El sistema permite registrar la repetición de la fase.</t>
  </si>
  <si>
    <t>Dado que la cotización tiene fases seleccionadas
Cuando el Jefe informa el tiempo estimado de cada fase
Entonces cada fase queda asociada a su tiempo</t>
  </si>
  <si>
    <t>TC-A-2.1-05</t>
  </si>
  <si>
    <t>Definir tiempo estimado por fase</t>
  </si>
  <si>
    <t>Registrar el tiempo estimado para cada fase.</t>
  </si>
  <si>
    <t>Tiempo estimado por fase.</t>
  </si>
  <si>
    <t>Cada fase debe tener su tiempo estimado.</t>
  </si>
  <si>
    <t>1. Seleccionar las fases.
2. Informar el tiempo estimado de cada fase.
3. Guardar.</t>
  </si>
  <si>
    <t>El tiempo estimado queda asociado a cada fase.</t>
  </si>
  <si>
    <t>Dado que la cotización tiene sus fases configuradas
Cuando el Jefe informa el precio final
Entonces la cotización mantiene un único precio final</t>
  </si>
  <si>
    <t>TC-A-2.1-06</t>
  </si>
  <si>
    <t>Definir precio final de cotización</t>
  </si>
  <si>
    <t>Registrar el precio final de la cotización.</t>
  </si>
  <si>
    <t>Cotización con fases configuradas.</t>
  </si>
  <si>
    <t>Precio final válido.</t>
  </si>
  <si>
    <t>La cotización utiliza un único precio final.</t>
  </si>
  <si>
    <t>1. Configurar las fases.
2. Informar el precio final.
3. Guardar.</t>
  </si>
  <si>
    <t>El precio final queda registrado correctamente.</t>
  </si>
  <si>
    <t>Dado que la cotización está completa
Cuando el Jefe la genera
Entonces queda registrada y asociada a la solicitud</t>
  </si>
  <si>
    <t>TC-A-2.1-07</t>
  </si>
  <si>
    <t>Generar cotización</t>
  </si>
  <si>
    <t>Generar la cotización a partir de la solicitud y configuración de fases.</t>
  </si>
  <si>
    <t>Solicitud válida; fases y tiempos definidos; precio final definido.</t>
  </si>
  <si>
    <t>Datos completos de cotización.</t>
  </si>
  <si>
    <t>La cotización puede generarse correctamente.</t>
  </si>
  <si>
    <t>1. Completar la configuración de la cotización.
2. Generar la cotización.
3. Consultar la cotización generada.</t>
  </si>
  <si>
    <t>Se genera la cotización con la información configurada.</t>
  </si>
  <si>
    <t>Dado que la cotización fue generada
Cuando se consulta su estado
Entonces corresponde al definido en el flujo comercial</t>
  </si>
  <si>
    <t>TC-A-2.1-08</t>
  </si>
  <si>
    <t>Verificar estado de la cotización</t>
  </si>
  <si>
    <t>Verificar el estado de la cotización luego de su generación.</t>
  </si>
  <si>
    <t>Cotización generada.</t>
  </si>
  <si>
    <t>Cotización válida.</t>
  </si>
  <si>
    <t>El estado debe corresponder al flujo definido.</t>
  </si>
  <si>
    <t>1. Generar la cotización.
2. Consultar el estado de la cotización.</t>
  </si>
  <si>
    <t>La cotización queda disponible para ser enviada al cliente.</t>
  </si>
  <si>
    <t>Cotizaciones derivadas</t>
  </si>
  <si>
    <t>Consulta de la cotización, envío al cliente y registro de la decisión del cliente.</t>
  </si>
  <si>
    <t>Como Vendedor quiero consultar la cotización derivada, enviarla al cliente y registrar su decisión para continuar o cerrar el circuito comercial</t>
  </si>
  <si>
    <t>Dado que existe una cotización generada
Cuando el Vendedor la consulta
Entonces puede acceder a la cotización</t>
  </si>
  <si>
    <t>TC-A-1.3-01</t>
  </si>
  <si>
    <t>F-04</t>
  </si>
  <si>
    <t>US-1.3</t>
  </si>
  <si>
    <t>Consultar cotización</t>
  </si>
  <si>
    <t>El Vendedor consulta una cotización generada.</t>
  </si>
  <si>
    <t>El Vendedor puede consultar la cotización.</t>
  </si>
  <si>
    <t>1. Ingresar como Vendedor.
2. Consultar las cotizaciones disponibles.
3. Seleccionar la cotización.</t>
  </si>
  <si>
    <t>La cotización se muestra correctamente.</t>
  </si>
  <si>
    <t>Dado que la cotización tiene datos completos
Cuando el Vendedor la abre
Entonces visualiza fases, tiempos y precio final consistentes</t>
  </si>
  <si>
    <t>TC-A-1.3-02</t>
  </si>
  <si>
    <t>Visualizar datos de cotización</t>
  </si>
  <si>
    <t>Verificar que la cotización muestre sus datos principales.</t>
  </si>
  <si>
    <t>Cotización disponible.</t>
  </si>
  <si>
    <t>Cotización con fases, tiempos y precio final.</t>
  </si>
  <si>
    <t>Los datos deben corresponder a la cotización generada.</t>
  </si>
  <si>
    <t>1. Abrir la cotización.
2. Revisar cliente, solicitud, fases, tiempos y precio final.</t>
  </si>
  <si>
    <t>Se muestran correctamente los datos de la cotización.</t>
  </si>
  <si>
    <t>Dado que la cotización está en ENVIADA_A_CLIENTE
Cuando el Vendedor registra la aprobación
Entonces la aprobación queda registrada</t>
  </si>
  <si>
    <t>TC-A-1.3-03</t>
  </si>
  <si>
    <t>Aprobar cotización</t>
  </si>
  <si>
    <t>El Vendedor registra la aprobación de una cotización enviada.</t>
  </si>
  <si>
    <t>CRITICAL</t>
  </si>
  <si>
    <t>Cotización en ENVIADA_A_CLIENTE.</t>
  </si>
  <si>
    <t>Cotización enviada.</t>
  </si>
  <si>
    <t>El Vendedor puede aprobar la cotización.</t>
  </si>
  <si>
    <t>1. Abrir la cotización enviada.
2. Seleccionar la aprobación.
3. Confirmar la acción.</t>
  </si>
  <si>
    <t>La aprobación se registra correctamente.</t>
  </si>
  <si>
    <t>Dado que la aprobación fue registrada
Cuando se consulta el estado
Entonces la cotización figura en APROBADA</t>
  </si>
  <si>
    <t>TC-A-1.3-04</t>
  </si>
  <si>
    <t>Verificar estado APROBADA</t>
  </si>
  <si>
    <t>Verificar el estado luego de la aprobación.</t>
  </si>
  <si>
    <t>Cotización aprobada.</t>
  </si>
  <si>
    <t>La cotización aprobada debe quedar en APROBADA.</t>
  </si>
  <si>
    <t>1. Registrar la aprobación.
2. Consultar el estado de la cotización.</t>
  </si>
  <si>
    <t>El estado cambia a APROBADA.</t>
  </si>
  <si>
    <t>Dado que la cotización está en APROBADA
Cuando se consultan las órdenes de trabajo
Entonces existe una OT generada automáticamente</t>
  </si>
  <si>
    <t>TC-A-1.3-05</t>
  </si>
  <si>
    <t>Generar OT automáticamente</t>
  </si>
  <si>
    <t>Verificar la generación automática de OT luego de aprobar la cotización.</t>
  </si>
  <si>
    <t>Cotización en APROBADA.</t>
  </si>
  <si>
    <t>La aprobación genera una OT.</t>
  </si>
  <si>
    <t>1. Aprobar la cotización.
2. Consultar las OT generadas.</t>
  </si>
  <si>
    <t>Se genera automáticamente una OT asociada a la cotización.</t>
  </si>
  <si>
    <t>Dado que la OT fue generada a partir de la cotización aprobada
Cuando se consulta la OT
Entonces mantiene la relación con la cotización</t>
  </si>
  <si>
    <t>TC-A-1.3-06</t>
  </si>
  <si>
    <t>Verificar asociación OT-cotización</t>
  </si>
  <si>
    <t>Comprobar la relación entre la OT generada y la cotización aprobada.</t>
  </si>
  <si>
    <t>OT generada.</t>
  </si>
  <si>
    <t>Cotización + OT.</t>
  </si>
  <si>
    <t>La OT debe quedar asociada a la cotización correspondiente.</t>
  </si>
  <si>
    <t>1. Consultar la OT generada.
2. Verificar su asociación con la cotización aprobada.</t>
  </si>
  <si>
    <t>La asociación se conserva correctamente.</t>
  </si>
  <si>
    <t>Dado que la OT fue generada con sus fases
Cuando se consultan las fases de la OT
Entonces la primera figura en EN_COLA</t>
  </si>
  <si>
    <t>TC-A-1.3-07</t>
  </si>
  <si>
    <t>Verificar primera fase en cola</t>
  </si>
  <si>
    <t>Verificar el estado de la primera fase de la OT.</t>
  </si>
  <si>
    <t>OT generada; fases configuradas.</t>
  </si>
  <si>
    <t>OT con secuencia de fases.</t>
  </si>
  <si>
    <t>La primera fase debe quedar en EN_COLA.</t>
  </si>
  <si>
    <t>1. Consultar la OT generada.
2. Consultar la secuencia de fases.
3. Verificar el estado de la primera fase.</t>
  </si>
  <si>
    <t>La primera fase queda disponible en estado EN_COLA.</t>
  </si>
  <si>
    <t>Dado que la OT fue generada y la fase tiene operarios elegibles
Cuando se consulta la primera fase
Entonces aparece disponible para el operario elegible correspondiente</t>
  </si>
  <si>
    <t>TC-A-1.3-08</t>
  </si>
  <si>
    <t>Verificar primer operario correcto</t>
  </si>
  <si>
    <t>Verificar que la primera fase quede visible para un operario elegible.</t>
  </si>
  <si>
    <t>E2E</t>
  </si>
  <si>
    <t>OT generada; configuración de HU-5.1 disponible.</t>
  </si>
  <si>
    <t>Fase + operario elegible.</t>
  </si>
  <si>
    <t>La primera fase debe quedar disponible para un operario habilitado.</t>
  </si>
  <si>
    <t>1. Consultar la primera fase de la OT.
2. Verificar el operario al que queda disponible.</t>
  </si>
  <si>
    <t>La fase aparece para el operario correspondiente.</t>
  </si>
  <si>
    <t>Dependencia funcional de HU-5.1.</t>
  </si>
  <si>
    <t>Dado que la cotización está en ENVIADA_A_CLIENTE
Cuando el Vendedor registra la no aprobación
Entonces la decisión queda registrada</t>
  </si>
  <si>
    <t>TC-A-1.3-09</t>
  </si>
  <si>
    <t>No aprobar cotización</t>
  </si>
  <si>
    <t>El Vendedor registra que no aprueba una cotización enviada.</t>
  </si>
  <si>
    <t>El Vendedor puede registrar la no aprobación.</t>
  </si>
  <si>
    <t>1. Abrir la cotización enviada.
2. Seleccionar la no aprobación.
3. Confirmar la acción.</t>
  </si>
  <si>
    <t>La no aprobación se registra correctamente.</t>
  </si>
  <si>
    <t>Dado que la no aprobación fue registrada
Cuando se consulta el estado
Entonces la cotización figura en NO_APROBADA</t>
  </si>
  <si>
    <t>TC-A-1.3-10</t>
  </si>
  <si>
    <t>Verificar estado NO_APROBADA</t>
  </si>
  <si>
    <t>Verificar el estado luego de registrar la no aprobación.</t>
  </si>
  <si>
    <t>Cotización no aprobada.</t>
  </si>
  <si>
    <t>La cotización debe quedar en NO_APROBADA.</t>
  </si>
  <si>
    <t>1. Registrar la no aprobación.
2. Consultar el estado de la cotización.</t>
  </si>
  <si>
    <t>El estado cambia a NO_APROBADA.</t>
  </si>
  <si>
    <t>Dado que la cotización está en NO_APROBADA
Cuando se consultan las OT asociadas
Entonces no existe ninguna OT generada</t>
  </si>
  <si>
    <t>TC-A-1.3-11</t>
  </si>
  <si>
    <t>No generar OT por no aprobación</t>
  </si>
  <si>
    <t>Verificar que una cotización no aprobada no genere una OT.</t>
  </si>
  <si>
    <t>Cotización en NO_APROBADA.</t>
  </si>
  <si>
    <t>Una no aprobación no debe generar OT.</t>
  </si>
  <si>
    <t>1. Registrar la no aprobación.
2. Consultar las OT asociadas.</t>
  </si>
  <si>
    <t>No se genera ninguna OT como consecuencia de la no aprobación.</t>
  </si>
  <si>
    <t>Dado que la cotización ya fue aprobada y generó su OT
Cuando se intenta reprocesarla
Entonces no se produce una segunda transición ni una OT duplicada</t>
  </si>
  <si>
    <t>TC-A-1.3-12</t>
  </si>
  <si>
    <t>Evitar duplicación por reproceso de aprobación</t>
  </si>
  <si>
    <t>Intentar reprocesar una cotización ya aprobada.</t>
  </si>
  <si>
    <t>Cotización APROBADA; OT ya generada.</t>
  </si>
  <si>
    <t>No debe producirse una segunda transición ni una OT duplicada.</t>
  </si>
  <si>
    <t>1. Consultar una cotización ya aprobada.
2. Intentar reprocesar la aprobación.
3. Consultar las OT asociadas.</t>
  </si>
  <si>
    <t>El sistema conserva la situación existente sin duplicar la OT.</t>
  </si>
  <si>
    <t>Dado que existe una cotización generada
Cuando el Vendedor la marca como enviada al cliente
Entonces la cotización pasa a ENVIADA_A_CLIENTE</t>
  </si>
  <si>
    <t>TC-A-1.3-13</t>
  </si>
  <si>
    <t>Marcar cotización como enviada al cliente</t>
  </si>
  <si>
    <t>El Vendedor registra que la cotización fue enviada al cliente antes de tomar una decisión.</t>
  </si>
  <si>
    <t>Cotización generada y disponible para el Vendedor.</t>
  </si>
  <si>
    <t>La cotización debe poder pasar a ENVIADA_A_CLIENTE.</t>
  </si>
  <si>
    <t>1. Abrir la cotización.
2. Marcarla como enviada al cliente.
3. Confirmar la acción.
4. Consultar el estado.</t>
  </si>
  <si>
    <t>El estado de la cotización cambia a ENVIADA_A_CLIENTE.</t>
  </si>
  <si>
    <t>Caso incorporado según observación de PM. Se ejecuta entre TC-A-1.3-02 y TC-A-1.3-03.</t>
  </si>
  <si>
    <t>Dado que la cotización no está en ENVIADA_A_CLIENTE
Cuando se intenta registrar la aprobación o la no aprobación
Entonces el sistema no permite la acción</t>
  </si>
  <si>
    <t>TC-A-1.3-14</t>
  </si>
  <si>
    <t>Intentar decidir cotización no enviada</t>
  </si>
  <si>
    <t>Intentar aprobar o no aprobar una cotización que todavía no fue marcada como enviada.</t>
  </si>
  <si>
    <t>Cotización no enviada.</t>
  </si>
  <si>
    <t>Cotización en estado previo a ENVIADA_A_CLIENTE.</t>
  </si>
  <si>
    <t>No debe permitirse decidir una cotización que aún no fue enviada al cliente.</t>
  </si>
  <si>
    <t>1. Abrir una cotización no enviada.
2. Intentar registrar la aprobación.
3. Intentar registrar la no aprobación.</t>
  </si>
  <si>
    <t>El sistema impide registrar la aprobación/no aprobación antes de ENVIADA_A_CLIENTE.</t>
  </si>
  <si>
    <t>Transversal — Circuito comercial</t>
  </si>
  <si>
    <t>Recorrido punta a punta del circuito comercial contra backend real.</t>
  </si>
  <si>
    <t>Circuito comercial E2E</t>
  </si>
  <si>
    <t>Solicitud → Cotización → ENVIADA_A_CLIENTE → APROBADA → OT → primera fase EN_COLA.</t>
  </si>
  <si>
    <t>Como equipo QA quiero validar el circuito comercial completo para confirmar el criterio de cierre de la Fase A</t>
  </si>
  <si>
    <t>Dado que existen usuarios Vendedor, Jefe y Operario, fases configuradas y backend operativo
Cuando el Vendedor registra la solicitud, el Jefe genera la cotización, el Vendedor la envía al cliente y la aprueba
Entonces se genera automáticamente la OT y la primera fase queda EN_COLA para el operario elegible</t>
  </si>
  <si>
    <t>TC-A-E2E-01</t>
  </si>
  <si>
    <t>EP-01 / EP-02 / EP-05</t>
  </si>
  <si>
    <t>F-01 a F-04</t>
  </si>
  <si>
    <t>US-1.1 / US-5.1 / US-2.1 / US-1.3</t>
  </si>
  <si>
    <t>Completar circuito comercial hasta generación de OT</t>
  </si>
  <si>
    <t>Validar de extremo a extremo el circuito comercial de Fase A utilizando el backend real.</t>
  </si>
  <si>
    <t>Usuarios Vendedor, Jefe y Operario disponibles; fases configuradas; backend operativo.</t>
  </si>
  <si>
    <t>Cliente válido; solicitud completa; fases; tiempos; precio final; operario elegible.</t>
  </si>
  <si>
    <t>La solicitud debe atravesar correctamente el circuito hasta generar la OT y colocar la primera fase en cola del operario correcto.</t>
  </si>
  <si>
    <t>1. Vendedor registra una solicitud con todos los datos requeridos.
2. QA verifica que la solicitud quede persistida.
3. Jefe de producción consulta la solicitud.
4. Jefe selecciona las fases necesarias.
5. Jefe define el orden de las fases.
6. Jefe registra el tiempo estimado de cada fase.
7. Jefe genera la cotización.
8. Vendedor marca la cotización como enviada al cliente.
9. Vendedor consulta la cotización.
10. Vendedor registra la aprobación.
11. QA verifica que la cotización pase a APROBADA.
12. QA verifica que se genere automáticamente la OT.
13. QA verifica la asociación entre OT y cotización.
14. QA verifica las fases de la OT.
15. QA verifica que la primera fase quede en EN_COLA.
16. QA verifica que la primera fase quede disponible para el operario elegible correspondiente.</t>
  </si>
  <si>
    <t>La solicitud completa el circuito comercial correctamente: Solicitud → Cotización → ENVIADA_A_CLIENTE → APROBADA → OT generada → primera fase EN_COLA → operario elegible.</t>
  </si>
  <si>
    <t>Caso de cierre de la Fase A.</t>
  </si>
  <si>
    <t>Dado que la solicitud no cumple los datos obligatorios
Cuando se intenta continuar el circuito
Entonces no avanza hasta completar los datos requeridos</t>
  </si>
  <si>
    <t>TC-A-E2E-NEG-01</t>
  </si>
  <si>
    <t>Solicitud incompleta</t>
  </si>
  <si>
    <t>Intentar continuar el circuito con una solicitud que no cumple los datos obligatorios.</t>
  </si>
  <si>
    <t>Backend operativo; usuario Vendedor autenticado.</t>
  </si>
  <si>
    <t>Solicitud con al menos un dato obligatorio faltante.</t>
  </si>
  <si>
    <t>Una solicitud incompleta no debe avanzar en el circuito comercial.</t>
  </si>
  <si>
    <t>1. Intentar registrar la solicitud incompleta.
2. Intentar continuar el circuito comercial.</t>
  </si>
  <si>
    <t>La solicitud no puede avanzar hasta completar los datos requeridos.</t>
  </si>
  <si>
    <t>Dado que se utiliza un cliente_id inexistente
Cuando se intenta registrar la solicitud y continuar el circuito
Entonces la asociación es rechazada</t>
  </si>
  <si>
    <t>TC-A-E2E-NEG-02</t>
  </si>
  <si>
    <t>Cliente inexistente</t>
  </si>
  <si>
    <t>No debe registrarse una solicitud asociada a un cliente inexistente.</t>
  </si>
  <si>
    <t>1. Intentar registrar la solicitud con un cliente_id inexistente.
2. Verificar el resultado de la operación.
3. Verificar que la solicitud no quede registrada con ese cliente.</t>
  </si>
  <si>
    <t>La asociación con el cliente inexistente es rechazada y la solicitud no queda registrada incorrectamente.</t>
  </si>
  <si>
    <t>Dado que la cotización fue enviada al cliente
Cuando el Vendedor registra NO_APROBADA
Entonces no se genera ninguna OT</t>
  </si>
  <si>
    <t>TC-A-E2E-NEG-03</t>
  </si>
  <si>
    <t>Cotización no aprobada</t>
  </si>
  <si>
    <t>El Vendedor registra la no aprobación de la cotización.</t>
  </si>
  <si>
    <t>Cotización enviada al cliente.</t>
  </si>
  <si>
    <t>Una cotización no aprobada no debe generar OT.</t>
  </si>
  <si>
    <t>1. Registrar la no aprobación.
2. Consultar el estado de la cotización.
3. Consultar las OT asociadas.</t>
  </si>
  <si>
    <t>La cotización queda en NO_APROBADA y no se genera OT.</t>
  </si>
  <si>
    <t>Dado que la primera fase no tiene operario elegible
Cuando se completa el circuito hasta la generación de la OT
Entonces la fase no se asigna a un operario no elegible</t>
  </si>
  <si>
    <t>TC-A-E2E-NEG-04</t>
  </si>
  <si>
    <t>Primera fase sin operario elegible</t>
  </si>
  <si>
    <t>Configurar una situación donde la primera fase no tenga un operario elegible disponible.</t>
  </si>
  <si>
    <t>Backend operativo; fase sin operario elegible configurado.</t>
  </si>
  <si>
    <t>Fase sin operario elegible.</t>
  </si>
  <si>
    <t>La primera fase no debe asignarse a un operario no elegible.</t>
  </si>
  <si>
    <t>1. Configurar la fase sin operario elegible.
2. Completar el circuito hasta la generación de la OT.
3. Consultar la asignación de la primera fase.</t>
  </si>
  <si>
    <t>El sistema no asigna incorrectamente la fase a un operario no elegible y la situación queda identificable para su tratamiento.</t>
  </si>
  <si>
    <t>Dado que la cotización no fue marcada como enviada al cliente
Cuando se intenta registrar la decisión
Entonces el sistema no lo permite</t>
  </si>
  <si>
    <t>TC-A-E2E-NEG-05</t>
  </si>
  <si>
    <t>Decidir cotización antes de enviarla</t>
  </si>
  <si>
    <t>Intentar aprobar o no aprobar una cotización que todavía no está en ENVIADA_A_CLIENTE.</t>
  </si>
  <si>
    <t>Cotización generada y no enviada al cliente.</t>
  </si>
  <si>
    <t>La decisión del cliente solo puede registrarse sobre una cotización enviada.</t>
  </si>
  <si>
    <t>1. Consultar una cotización no enviada.
2. Intentar registrar la aprobación.
3. Intentar registrar la no aprobación.</t>
  </si>
  <si>
    <t>No se permite tomar la decisión antes de que la cotización sea marcada como enviada al cliente.</t>
  </si>
  <si>
    <t>PRIORITY</t>
  </si>
  <si>
    <t>TYPE</t>
  </si>
  <si>
    <t>STATUS</t>
  </si>
  <si>
    <t>SEVERITY</t>
  </si>
  <si>
    <t>PASS</t>
  </si>
  <si>
    <t>NO FUNCIONAL</t>
  </si>
  <si>
    <t>FAIL</t>
  </si>
  <si>
    <t>LOW</t>
  </si>
  <si>
    <t>BLOCKED</t>
  </si>
  <si>
    <t>REGRESSION</t>
  </si>
  <si>
    <t>SECURITY</t>
  </si>
  <si>
    <t>Valores controlados. Las columnas REQUERIMIENTO, Priority, Type, Status y Severity de la hoja TEST-CASE tienen listas desplegables con estos valores.
SEVERITY se completa únicamente cuando existe un defecto asociado (Defect ID).
NOT RUN = caso diseñado sin ejecutar · BLOCKED = dependencia que impide ejecutar · PASS = ejecución satisfactoria · FAIL = resultado no esperado.</t>
  </si>
  <si>
    <t>QualityTrack — Cobertura y ejecución · Fase A (v1.1)</t>
  </si>
  <si>
    <t>Cobertura por área</t>
  </si>
  <si>
    <t>Casos</t>
  </si>
  <si>
    <t>HU-1.1 — Levantar pedido</t>
  </si>
  <si>
    <t>HU-5.1 — Configuración global de fases</t>
  </si>
  <si>
    <t>HU-2.1 — Recepción de cotización</t>
  </si>
  <si>
    <t>HU-1.3 — Cotizaciones derivadas</t>
  </si>
  <si>
    <t>E2E principal</t>
  </si>
  <si>
    <t>E2E negativos</t>
  </si>
  <si>
    <t>TOTAL FASE A</t>
  </si>
  <si>
    <t>Casos por prioridad</t>
  </si>
  <si>
    <t>Casos por tipo</t>
  </si>
  <si>
    <t>Los conteos se calculan con fórmulas sobre la hoja TEST-CASE (filas 3 a 52) y se actualizan al cambiar Status. Si se agregan casos debajo de la fila 52, extender los rangos.</t>
  </si>
  <si>
    <t>Confirmar comportamiento de la UI y del flujo al intentar registrar una decisión antes de ENVIADA_A_CLIENTE</t>
  </si>
  <si>
    <t>QualityTrack — MVP · Matriz de Casos de Prueba · Fase A — Circuito comercial · S1 → S2 · Versión 1.1 · Responsable QA: María Chiribao · Estado: Correcta / lista para incorporación a GitHub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</si>
</sst>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family val="2"/>
    </font>
    <font>
      <b/>
      <sz val="9"/>
      <name val="Calibri"/>
      <family val="2"/>
    </font>
    <font>
      <sz val="9"/>
      <name val="Calibri"/>
      <family val="2"/>
    </font>
    <font>
      <b/>
      <sz val="10"/>
      <name val="Calibri"/>
      <family val="2"/>
    </font>
    <font>
      <sz val="10"/>
      <name val="Calibri"/>
      <family val="2"/>
    </font>
    <font>
      <i/>
      <sz val="9"/>
      <name val="Calibri"/>
      <family val="2"/>
    </font>
  </fonts>
  <fills count="6">
    <fill>
      <patternFill patternType="none"/>
    </fill>
    <fill>
      <patternFill patternType="gray125"/>
    </fill>
    <fill>
      <patternFill patternType="solid">
        <fgColor rgb="FF1F4E79"/>
        <bgColor rgb="FF003366"/>
      </patternFill>
    </fill>
    <fill>
      <patternFill patternType="solid">
        <fgColor rgb="FFB4C6E7"/>
        <bgColor rgb="FFBFBFBF"/>
      </patternFill>
    </fill>
    <fill>
      <patternFill patternType="solid">
        <fgColor rgb="FFD9E1F2"/>
        <bgColor rgb="FFEDEDED"/>
      </patternFill>
    </fill>
    <fill>
      <patternFill patternType="solid">
        <fgColor rgb="FFCCFF33"/>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2" fillId="3" borderId="1" xfId="0" applyFont="1" applyFill="1" applyBorder="1" applyAlignment="1">
      <alignment horizontal="center" vertical="center" wrapText="1"/>
    </xf>
    <xf numFmtId="0" fontId="3" fillId="0" borderId="1" xfId="0" applyFont="1" applyBorder="1" applyAlignment="1">
      <alignment vertical="top" wrapText="1"/>
    </xf>
    <xf numFmtId="0" fontId="2" fillId="0" borderId="1" xfId="0" applyFont="1" applyBorder="1" applyAlignment="1">
      <alignment horizontal="center" vertical="top" wrapText="1"/>
    </xf>
    <xf numFmtId="0" fontId="3" fillId="0" borderId="1" xfId="0" applyFont="1" applyBorder="1" applyAlignment="1">
      <alignment horizontal="center" vertical="top" wrapText="1"/>
    </xf>
    <xf numFmtId="0" fontId="4" fillId="3" borderId="1" xfId="0" applyFont="1" applyFill="1" applyBorder="1"/>
    <xf numFmtId="0" fontId="5" fillId="0" borderId="1" xfId="0" applyFont="1" applyBorder="1"/>
    <xf numFmtId="0" fontId="1" fillId="2" borderId="0" xfId="0" applyFont="1" applyFill="1"/>
    <xf numFmtId="0" fontId="0" fillId="2" borderId="0" xfId="0" applyFill="1"/>
    <xf numFmtId="0" fontId="5" fillId="0" borderId="1" xfId="0" applyFont="1" applyBorder="1" applyAlignment="1">
      <alignment horizontal="center"/>
    </xf>
    <xf numFmtId="0" fontId="4" fillId="4" borderId="1" xfId="0" applyFont="1" applyFill="1" applyBorder="1"/>
    <xf numFmtId="0" fontId="4" fillId="4" borderId="1" xfId="0" applyFont="1" applyFill="1" applyBorder="1" applyAlignment="1">
      <alignment horizontal="center"/>
    </xf>
    <xf numFmtId="0" fontId="0" fillId="0" borderId="1" xfId="0" applyBorder="1" applyAlignment="1">
      <alignment horizontal="center"/>
    </xf>
    <xf numFmtId="0" fontId="3" fillId="5" borderId="1" xfId="0" applyFont="1" applyFill="1" applyBorder="1" applyAlignment="1">
      <alignment vertical="top" wrapText="1"/>
    </xf>
    <xf numFmtId="0" fontId="1" fillId="2" borderId="0" xfId="0" applyFont="1" applyFill="1" applyAlignment="1">
      <alignment horizontal="left" vertical="center" indent="1"/>
    </xf>
    <xf numFmtId="0" fontId="6" fillId="0" borderId="0" xfId="0" applyFont="1" applyAlignment="1">
      <alignment vertical="top" wrapText="1"/>
    </xf>
  </cellXfs>
  <cellStyles count="1">
    <cellStyle name="Normal" xfId="0" builtinId="0"/>
  </cellStyles>
  <dxfs count="4">
    <dxf>
      <font>
        <b/>
        <sz val="9"/>
        <color rgb="FF595959"/>
        <name val="Calibri"/>
        <charset val="1"/>
      </font>
      <fill>
        <patternFill>
          <bgColor rgb="FFEDEDED"/>
        </patternFill>
      </fill>
    </dxf>
    <dxf>
      <font>
        <b/>
        <sz val="9"/>
        <color rgb="FF9C5700"/>
        <name val="Calibri"/>
        <charset val="1"/>
      </font>
      <fill>
        <patternFill>
          <bgColor rgb="FFFFEB9C"/>
        </patternFill>
      </fill>
    </dxf>
    <dxf>
      <font>
        <b/>
        <sz val="9"/>
        <color rgb="FF9C0006"/>
        <name val="Calibri"/>
        <charset val="1"/>
      </font>
      <fill>
        <patternFill>
          <bgColor rgb="FFFFC7CE"/>
        </patternFill>
      </fill>
    </dxf>
    <dxf>
      <font>
        <b/>
        <sz val="9"/>
        <color rgb="FF006100"/>
        <name val="Calibri"/>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EDEDED"/>
      <rgbColor rgb="FFD9E1F2"/>
      <rgbColor rgb="FF660066"/>
      <rgbColor rgb="FFFF8080"/>
      <rgbColor rgb="FF0066CC"/>
      <rgbColor rgb="FFB4C6E7"/>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C5700"/>
      <rgbColor rgb="FF993366"/>
      <rgbColor rgb="FF1F4E79"/>
      <rgbColor rgb="FF333333"/>
      <rgbColor rgb="00003366"/>
      <rgbColor rgb="00339966"/>
      <rgbColor rgb="00003300"/>
      <rgbColor rgb="00333300"/>
      <rgbColor rgb="00993300"/>
      <rgbColor rgb="00993366"/>
      <rgbColor rgb="00333399"/>
      <rgbColor rgb="00333333"/>
    </indexedColors>
    <mruColors>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2"/>
  <sheetViews>
    <sheetView tabSelected="1" topLeftCell="P1" zoomScaleNormal="100" workbookViewId="0">
      <pane ySplit="2" topLeftCell="A33" activePane="bottomLeft" state="frozen"/>
      <selection pane="bottomLeft" activeCell="V39" sqref="V39"/>
    </sheetView>
  </sheetViews>
  <sheetFormatPr baseColWidth="10" defaultColWidth="8.7109375" defaultRowHeight="15" x14ac:dyDescent="0.25"/>
  <cols>
    <col min="1" max="1" width="19" customWidth="1"/>
    <col min="2" max="2" width="26" customWidth="1"/>
    <col min="3" max="3" width="15" customWidth="1"/>
    <col min="4" max="4" width="22" customWidth="1"/>
    <col min="5" max="5" width="28" customWidth="1"/>
    <col min="6" max="6" width="34" customWidth="1"/>
    <col min="7" max="7" width="42" customWidth="1"/>
    <col min="8" max="8" width="15" customWidth="1"/>
    <col min="9" max="10" width="11" customWidth="1"/>
    <col min="11" max="11" width="12" customWidth="1"/>
    <col min="12" max="12" width="32" customWidth="1"/>
    <col min="13" max="13" width="34" customWidth="1"/>
    <col min="14" max="14" width="11" customWidth="1"/>
    <col min="15" max="15" width="13" customWidth="1"/>
    <col min="16" max="16" width="28" customWidth="1"/>
    <col min="17" max="17" width="30" customWidth="1"/>
    <col min="18" max="18" width="32" customWidth="1"/>
    <col min="19" max="19" width="42" customWidth="1"/>
    <col min="20" max="20" width="38" customWidth="1"/>
    <col min="21" max="21" width="26" customWidth="1"/>
    <col min="22" max="22" width="11" customWidth="1"/>
    <col min="23" max="23" width="16" customWidth="1"/>
    <col min="24" max="24" width="28" customWidth="1"/>
    <col min="25" max="25" width="12" customWidth="1"/>
    <col min="26" max="26" width="11" customWidth="1"/>
  </cols>
  <sheetData>
    <row r="1" spans="1:26" ht="24" customHeight="1" x14ac:dyDescent="0.25">
      <c r="A1" s="14" t="s">
        <v>523</v>
      </c>
      <c r="B1" s="14"/>
      <c r="C1" s="14"/>
      <c r="D1" s="14"/>
      <c r="E1" s="14"/>
      <c r="F1" s="14"/>
      <c r="G1" s="14"/>
      <c r="H1" s="14"/>
      <c r="I1" s="14"/>
      <c r="J1" s="14"/>
      <c r="K1" s="14"/>
      <c r="L1" s="14"/>
      <c r="M1" s="14"/>
      <c r="N1" s="14"/>
      <c r="O1" s="14"/>
      <c r="P1" s="14"/>
      <c r="Q1" s="14"/>
      <c r="R1" s="14"/>
      <c r="S1" s="14"/>
      <c r="T1" s="14"/>
      <c r="U1" s="14"/>
      <c r="V1" s="14"/>
      <c r="W1" s="14"/>
      <c r="X1" s="14"/>
      <c r="Y1" s="14"/>
      <c r="Z1" s="14"/>
    </row>
    <row r="2" spans="1:26" ht="16.5" customHeight="1" x14ac:dyDescent="0.25">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25</v>
      </c>
    </row>
    <row r="3" spans="1:26" ht="48" x14ac:dyDescent="0.25">
      <c r="A3" s="13" t="s">
        <v>26</v>
      </c>
      <c r="B3" s="2" t="s">
        <v>27</v>
      </c>
      <c r="C3" s="2" t="s">
        <v>28</v>
      </c>
      <c r="D3" s="2" t="s">
        <v>29</v>
      </c>
      <c r="E3" s="2" t="s">
        <v>30</v>
      </c>
      <c r="F3" s="2" t="s">
        <v>31</v>
      </c>
      <c r="G3" s="2" t="s">
        <v>32</v>
      </c>
      <c r="H3" s="3" t="s">
        <v>33</v>
      </c>
      <c r="I3" s="4" t="s">
        <v>34</v>
      </c>
      <c r="J3" s="4" t="s">
        <v>35</v>
      </c>
      <c r="K3" s="4" t="s">
        <v>36</v>
      </c>
      <c r="L3" s="2" t="s">
        <v>37</v>
      </c>
      <c r="M3" s="2" t="s">
        <v>38</v>
      </c>
      <c r="N3" s="4" t="s">
        <v>39</v>
      </c>
      <c r="O3" s="4" t="s">
        <v>40</v>
      </c>
      <c r="P3" s="2" t="s">
        <v>41</v>
      </c>
      <c r="Q3" s="2" t="s">
        <v>42</v>
      </c>
      <c r="R3" s="2" t="s">
        <v>43</v>
      </c>
      <c r="S3" s="2" t="s">
        <v>44</v>
      </c>
      <c r="T3" s="2" t="s">
        <v>45</v>
      </c>
      <c r="U3" s="2" t="s">
        <v>501</v>
      </c>
      <c r="V3" s="4" t="s">
        <v>501</v>
      </c>
      <c r="W3" s="2"/>
      <c r="X3" s="2"/>
      <c r="Y3" s="4"/>
      <c r="Z3" s="4"/>
    </row>
    <row r="4" spans="1:26" ht="48" x14ac:dyDescent="0.25">
      <c r="A4" s="13" t="s">
        <v>26</v>
      </c>
      <c r="B4" s="2" t="s">
        <v>27</v>
      </c>
      <c r="C4" s="2" t="s">
        <v>28</v>
      </c>
      <c r="D4" s="2" t="s">
        <v>29</v>
      </c>
      <c r="E4" s="2" t="s">
        <v>30</v>
      </c>
      <c r="F4" s="2" t="s">
        <v>31</v>
      </c>
      <c r="G4" s="2" t="s">
        <v>47</v>
      </c>
      <c r="H4" s="3" t="s">
        <v>48</v>
      </c>
      <c r="I4" s="4" t="s">
        <v>34</v>
      </c>
      <c r="J4" s="4" t="s">
        <v>35</v>
      </c>
      <c r="K4" s="4" t="s">
        <v>36</v>
      </c>
      <c r="L4" s="2" t="s">
        <v>49</v>
      </c>
      <c r="M4" s="2" t="s">
        <v>50</v>
      </c>
      <c r="N4" s="4" t="s">
        <v>39</v>
      </c>
      <c r="O4" s="4" t="s">
        <v>51</v>
      </c>
      <c r="P4" s="2" t="s">
        <v>41</v>
      </c>
      <c r="Q4" s="2" t="s">
        <v>52</v>
      </c>
      <c r="R4" s="2" t="s">
        <v>53</v>
      </c>
      <c r="S4" s="2" t="s">
        <v>54</v>
      </c>
      <c r="T4" s="2" t="s">
        <v>55</v>
      </c>
      <c r="U4" s="2" t="s">
        <v>501</v>
      </c>
      <c r="V4" s="4" t="s">
        <v>501</v>
      </c>
      <c r="W4" s="2"/>
      <c r="X4" s="2"/>
      <c r="Y4" s="4"/>
      <c r="Z4" s="4"/>
    </row>
    <row r="5" spans="1:26" ht="48" x14ac:dyDescent="0.25">
      <c r="A5" s="13" t="s">
        <v>26</v>
      </c>
      <c r="B5" s="2" t="s">
        <v>27</v>
      </c>
      <c r="C5" s="2" t="s">
        <v>28</v>
      </c>
      <c r="D5" s="2" t="s">
        <v>29</v>
      </c>
      <c r="E5" s="2" t="s">
        <v>30</v>
      </c>
      <c r="F5" s="2" t="s">
        <v>31</v>
      </c>
      <c r="G5" s="2" t="s">
        <v>56</v>
      </c>
      <c r="H5" s="3" t="s">
        <v>57</v>
      </c>
      <c r="I5" s="4" t="s">
        <v>34</v>
      </c>
      <c r="J5" s="4" t="s">
        <v>35</v>
      </c>
      <c r="K5" s="4" t="s">
        <v>36</v>
      </c>
      <c r="L5" s="2" t="s">
        <v>58</v>
      </c>
      <c r="M5" s="2" t="s">
        <v>59</v>
      </c>
      <c r="N5" s="4" t="s">
        <v>60</v>
      </c>
      <c r="O5" s="4" t="s">
        <v>40</v>
      </c>
      <c r="P5" s="2" t="s">
        <v>41</v>
      </c>
      <c r="Q5" s="2" t="s">
        <v>61</v>
      </c>
      <c r="R5" s="2" t="s">
        <v>62</v>
      </c>
      <c r="S5" s="2" t="s">
        <v>63</v>
      </c>
      <c r="T5" s="2" t="s">
        <v>64</v>
      </c>
      <c r="U5" s="2"/>
      <c r="V5" s="4" t="s">
        <v>503</v>
      </c>
      <c r="W5" s="2"/>
      <c r="X5" s="2" t="s">
        <v>65</v>
      </c>
      <c r="Y5" s="4"/>
      <c r="Z5" s="4"/>
    </row>
    <row r="6" spans="1:26" ht="48" x14ac:dyDescent="0.25">
      <c r="A6" s="13" t="s">
        <v>26</v>
      </c>
      <c r="B6" s="2" t="s">
        <v>27</v>
      </c>
      <c r="C6" s="2" t="s">
        <v>28</v>
      </c>
      <c r="D6" s="2" t="s">
        <v>29</v>
      </c>
      <c r="E6" s="2" t="s">
        <v>30</v>
      </c>
      <c r="F6" s="2" t="s">
        <v>31</v>
      </c>
      <c r="G6" s="2" t="s">
        <v>66</v>
      </c>
      <c r="H6" s="3" t="s">
        <v>67</v>
      </c>
      <c r="I6" s="4" t="s">
        <v>34</v>
      </c>
      <c r="J6" s="4" t="s">
        <v>35</v>
      </c>
      <c r="K6" s="4" t="s">
        <v>36</v>
      </c>
      <c r="L6" s="2" t="s">
        <v>68</v>
      </c>
      <c r="M6" s="2" t="s">
        <v>69</v>
      </c>
      <c r="N6" s="4" t="s">
        <v>60</v>
      </c>
      <c r="O6" s="4" t="s">
        <v>40</v>
      </c>
      <c r="P6" s="2" t="s">
        <v>41</v>
      </c>
      <c r="Q6" s="2" t="s">
        <v>70</v>
      </c>
      <c r="R6" s="2" t="s">
        <v>71</v>
      </c>
      <c r="S6" s="2" t="s">
        <v>72</v>
      </c>
      <c r="T6" s="2" t="s">
        <v>73</v>
      </c>
      <c r="U6" s="2"/>
      <c r="V6" s="4" t="s">
        <v>46</v>
      </c>
      <c r="W6" s="2"/>
      <c r="X6" s="2" t="s">
        <v>65</v>
      </c>
      <c r="Y6" s="4"/>
      <c r="Z6" s="4"/>
    </row>
    <row r="7" spans="1:26" ht="48" x14ac:dyDescent="0.25">
      <c r="A7" s="13" t="s">
        <v>26</v>
      </c>
      <c r="B7" s="2" t="s">
        <v>27</v>
      </c>
      <c r="C7" s="2" t="s">
        <v>28</v>
      </c>
      <c r="D7" s="2" t="s">
        <v>29</v>
      </c>
      <c r="E7" s="2" t="s">
        <v>30</v>
      </c>
      <c r="F7" s="2" t="s">
        <v>31</v>
      </c>
      <c r="G7" s="2" t="s">
        <v>74</v>
      </c>
      <c r="H7" s="3" t="s">
        <v>75</v>
      </c>
      <c r="I7" s="4" t="s">
        <v>34</v>
      </c>
      <c r="J7" s="4" t="s">
        <v>35</v>
      </c>
      <c r="K7" s="4" t="s">
        <v>36</v>
      </c>
      <c r="L7" s="2" t="s">
        <v>76</v>
      </c>
      <c r="M7" s="2" t="s">
        <v>77</v>
      </c>
      <c r="N7" s="4" t="s">
        <v>39</v>
      </c>
      <c r="O7" s="4" t="s">
        <v>51</v>
      </c>
      <c r="P7" s="2" t="s">
        <v>41</v>
      </c>
      <c r="Q7" s="2" t="s">
        <v>78</v>
      </c>
      <c r="R7" s="2" t="s">
        <v>79</v>
      </c>
      <c r="S7" s="2" t="s">
        <v>80</v>
      </c>
      <c r="T7" s="2" t="s">
        <v>81</v>
      </c>
      <c r="U7" s="2"/>
      <c r="V7" s="4" t="s">
        <v>46</v>
      </c>
      <c r="W7" s="2"/>
      <c r="X7" s="2"/>
      <c r="Y7" s="4"/>
      <c r="Z7" s="4"/>
    </row>
    <row r="8" spans="1:26" ht="48" x14ac:dyDescent="0.25">
      <c r="A8" s="13" t="s">
        <v>26</v>
      </c>
      <c r="B8" s="2" t="s">
        <v>27</v>
      </c>
      <c r="C8" s="2" t="s">
        <v>28</v>
      </c>
      <c r="D8" s="2" t="s">
        <v>29</v>
      </c>
      <c r="E8" s="2" t="s">
        <v>30</v>
      </c>
      <c r="F8" s="2" t="s">
        <v>31</v>
      </c>
      <c r="G8" s="2" t="s">
        <v>82</v>
      </c>
      <c r="H8" s="3" t="s">
        <v>83</v>
      </c>
      <c r="I8" s="4" t="s">
        <v>34</v>
      </c>
      <c r="J8" s="4" t="s">
        <v>35</v>
      </c>
      <c r="K8" s="4" t="s">
        <v>36</v>
      </c>
      <c r="L8" s="2" t="s">
        <v>84</v>
      </c>
      <c r="M8" s="2" t="s">
        <v>85</v>
      </c>
      <c r="N8" s="4" t="s">
        <v>39</v>
      </c>
      <c r="O8" s="4" t="s">
        <v>51</v>
      </c>
      <c r="P8" s="2" t="s">
        <v>41</v>
      </c>
      <c r="Q8" s="2" t="s">
        <v>86</v>
      </c>
      <c r="R8" s="2" t="s">
        <v>87</v>
      </c>
      <c r="S8" s="2" t="s">
        <v>88</v>
      </c>
      <c r="T8" s="2" t="s">
        <v>81</v>
      </c>
      <c r="U8" s="2"/>
      <c r="V8" s="4" t="s">
        <v>46</v>
      </c>
      <c r="W8" s="2"/>
      <c r="X8" s="2"/>
      <c r="Y8" s="4"/>
      <c r="Z8" s="4"/>
    </row>
    <row r="9" spans="1:26" ht="48" x14ac:dyDescent="0.25">
      <c r="A9" s="13" t="s">
        <v>26</v>
      </c>
      <c r="B9" s="2" t="s">
        <v>27</v>
      </c>
      <c r="C9" s="2" t="s">
        <v>28</v>
      </c>
      <c r="D9" s="2" t="s">
        <v>29</v>
      </c>
      <c r="E9" s="2" t="s">
        <v>30</v>
      </c>
      <c r="F9" s="2" t="s">
        <v>31</v>
      </c>
      <c r="G9" s="2" t="s">
        <v>89</v>
      </c>
      <c r="H9" s="3" t="s">
        <v>90</v>
      </c>
      <c r="I9" s="4" t="s">
        <v>34</v>
      </c>
      <c r="J9" s="4" t="s">
        <v>35</v>
      </c>
      <c r="K9" s="4" t="s">
        <v>36</v>
      </c>
      <c r="L9" s="2" t="s">
        <v>91</v>
      </c>
      <c r="M9" s="2" t="s">
        <v>92</v>
      </c>
      <c r="N9" s="4" t="s">
        <v>39</v>
      </c>
      <c r="O9" s="4" t="s">
        <v>93</v>
      </c>
      <c r="P9" s="2" t="s">
        <v>41</v>
      </c>
      <c r="Q9" s="2" t="s">
        <v>94</v>
      </c>
      <c r="R9" s="2" t="s">
        <v>95</v>
      </c>
      <c r="S9" s="2" t="s">
        <v>96</v>
      </c>
      <c r="T9" s="2" t="s">
        <v>97</v>
      </c>
      <c r="U9" s="2"/>
      <c r="V9" s="4" t="s">
        <v>46</v>
      </c>
      <c r="W9" s="2"/>
      <c r="X9" s="2"/>
      <c r="Y9" s="4"/>
      <c r="Z9" s="4"/>
    </row>
    <row r="10" spans="1:26" ht="48" x14ac:dyDescent="0.25">
      <c r="A10" s="13" t="s">
        <v>26</v>
      </c>
      <c r="B10" s="2" t="s">
        <v>27</v>
      </c>
      <c r="C10" s="2" t="s">
        <v>28</v>
      </c>
      <c r="D10" s="2" t="s">
        <v>29</v>
      </c>
      <c r="E10" s="2" t="s">
        <v>30</v>
      </c>
      <c r="F10" s="2" t="s">
        <v>31</v>
      </c>
      <c r="G10" s="2" t="s">
        <v>98</v>
      </c>
      <c r="H10" s="3" t="s">
        <v>99</v>
      </c>
      <c r="I10" s="4" t="s">
        <v>34</v>
      </c>
      <c r="J10" s="4" t="s">
        <v>35</v>
      </c>
      <c r="K10" s="4" t="s">
        <v>36</v>
      </c>
      <c r="L10" s="2" t="s">
        <v>100</v>
      </c>
      <c r="M10" s="2" t="s">
        <v>101</v>
      </c>
      <c r="N10" s="4" t="s">
        <v>39</v>
      </c>
      <c r="O10" s="4" t="s">
        <v>93</v>
      </c>
      <c r="P10" s="2" t="s">
        <v>41</v>
      </c>
      <c r="Q10" s="2" t="s">
        <v>102</v>
      </c>
      <c r="R10" s="2" t="s">
        <v>95</v>
      </c>
      <c r="S10" s="2" t="s">
        <v>103</v>
      </c>
      <c r="T10" s="2" t="s">
        <v>97</v>
      </c>
      <c r="U10" s="2"/>
      <c r="V10" s="4" t="s">
        <v>46</v>
      </c>
      <c r="W10" s="2"/>
      <c r="X10" s="2"/>
      <c r="Y10" s="4"/>
      <c r="Z10" s="4"/>
    </row>
    <row r="11" spans="1:26" ht="48" x14ac:dyDescent="0.25">
      <c r="A11" s="13" t="s">
        <v>26</v>
      </c>
      <c r="B11" s="2" t="s">
        <v>27</v>
      </c>
      <c r="C11" s="2" t="s">
        <v>28</v>
      </c>
      <c r="D11" s="2" t="s">
        <v>29</v>
      </c>
      <c r="E11" s="2" t="s">
        <v>30</v>
      </c>
      <c r="F11" s="2" t="s">
        <v>31</v>
      </c>
      <c r="G11" s="2" t="s">
        <v>104</v>
      </c>
      <c r="H11" s="3" t="s">
        <v>105</v>
      </c>
      <c r="I11" s="4" t="s">
        <v>34</v>
      </c>
      <c r="J11" s="4" t="s">
        <v>35</v>
      </c>
      <c r="K11" s="4" t="s">
        <v>36</v>
      </c>
      <c r="L11" s="2" t="s">
        <v>106</v>
      </c>
      <c r="M11" s="2" t="s">
        <v>107</v>
      </c>
      <c r="N11" s="4" t="s">
        <v>60</v>
      </c>
      <c r="O11" s="4" t="s">
        <v>40</v>
      </c>
      <c r="P11" s="2" t="s">
        <v>41</v>
      </c>
      <c r="Q11" s="2" t="s">
        <v>108</v>
      </c>
      <c r="R11" s="2" t="s">
        <v>109</v>
      </c>
      <c r="S11" s="2" t="s">
        <v>110</v>
      </c>
      <c r="T11" s="2" t="s">
        <v>111</v>
      </c>
      <c r="U11" s="2"/>
      <c r="V11" s="4" t="s">
        <v>46</v>
      </c>
      <c r="W11" s="2"/>
      <c r="X11" s="2"/>
      <c r="Y11" s="4"/>
      <c r="Z11" s="4"/>
    </row>
    <row r="12" spans="1:26" ht="48" x14ac:dyDescent="0.25">
      <c r="A12" s="13" t="s">
        <v>26</v>
      </c>
      <c r="B12" s="2" t="s">
        <v>27</v>
      </c>
      <c r="C12" s="2" t="s">
        <v>28</v>
      </c>
      <c r="D12" s="2" t="s">
        <v>29</v>
      </c>
      <c r="E12" s="2" t="s">
        <v>30</v>
      </c>
      <c r="F12" s="2" t="s">
        <v>31</v>
      </c>
      <c r="G12" s="2" t="s">
        <v>112</v>
      </c>
      <c r="H12" s="3" t="s">
        <v>113</v>
      </c>
      <c r="I12" s="4" t="s">
        <v>34</v>
      </c>
      <c r="J12" s="4" t="s">
        <v>35</v>
      </c>
      <c r="K12" s="4" t="s">
        <v>36</v>
      </c>
      <c r="L12" s="2" t="s">
        <v>114</v>
      </c>
      <c r="M12" s="2" t="s">
        <v>115</v>
      </c>
      <c r="N12" s="4" t="s">
        <v>39</v>
      </c>
      <c r="O12" s="4" t="s">
        <v>93</v>
      </c>
      <c r="P12" s="2" t="s">
        <v>116</v>
      </c>
      <c r="Q12" s="2" t="s">
        <v>117</v>
      </c>
      <c r="R12" s="2" t="s">
        <v>118</v>
      </c>
      <c r="S12" s="2" t="s">
        <v>119</v>
      </c>
      <c r="T12" s="2" t="s">
        <v>120</v>
      </c>
      <c r="U12" s="2"/>
      <c r="V12" s="4" t="s">
        <v>46</v>
      </c>
      <c r="W12" s="2"/>
      <c r="X12" s="2"/>
      <c r="Y12" s="4"/>
      <c r="Z12" s="4"/>
    </row>
    <row r="13" spans="1:26" ht="48" x14ac:dyDescent="0.25">
      <c r="A13" s="13" t="s">
        <v>26</v>
      </c>
      <c r="B13" s="2" t="s">
        <v>27</v>
      </c>
      <c r="C13" s="2" t="s">
        <v>28</v>
      </c>
      <c r="D13" s="2" t="s">
        <v>29</v>
      </c>
      <c r="E13" s="2" t="s">
        <v>30</v>
      </c>
      <c r="F13" s="2" t="s">
        <v>31</v>
      </c>
      <c r="G13" s="2" t="s">
        <v>121</v>
      </c>
      <c r="H13" s="3" t="s">
        <v>122</v>
      </c>
      <c r="I13" s="4" t="s">
        <v>34</v>
      </c>
      <c r="J13" s="4" t="s">
        <v>35</v>
      </c>
      <c r="K13" s="4" t="s">
        <v>36</v>
      </c>
      <c r="L13" s="2" t="s">
        <v>123</v>
      </c>
      <c r="M13" s="2" t="s">
        <v>124</v>
      </c>
      <c r="N13" s="4" t="s">
        <v>39</v>
      </c>
      <c r="O13" s="4" t="s">
        <v>125</v>
      </c>
      <c r="P13" s="2" t="s">
        <v>126</v>
      </c>
      <c r="Q13" s="2" t="s">
        <v>127</v>
      </c>
      <c r="R13" s="2" t="s">
        <v>128</v>
      </c>
      <c r="S13" s="2" t="s">
        <v>129</v>
      </c>
      <c r="T13" s="2" t="s">
        <v>130</v>
      </c>
      <c r="U13" s="2"/>
      <c r="V13" s="4" t="s">
        <v>46</v>
      </c>
      <c r="W13" s="2"/>
      <c r="X13" s="2"/>
      <c r="Y13" s="4"/>
      <c r="Z13" s="4"/>
    </row>
    <row r="14" spans="1:26" ht="60" x14ac:dyDescent="0.25">
      <c r="A14" s="13" t="s">
        <v>26</v>
      </c>
      <c r="B14" s="2" t="s">
        <v>27</v>
      </c>
      <c r="C14" s="2" t="s">
        <v>28</v>
      </c>
      <c r="D14" s="2" t="s">
        <v>29</v>
      </c>
      <c r="E14" s="2" t="s">
        <v>30</v>
      </c>
      <c r="F14" s="2" t="s">
        <v>31</v>
      </c>
      <c r="G14" s="2" t="s">
        <v>131</v>
      </c>
      <c r="H14" s="3" t="s">
        <v>132</v>
      </c>
      <c r="I14" s="4" t="s">
        <v>34</v>
      </c>
      <c r="J14" s="4" t="s">
        <v>35</v>
      </c>
      <c r="K14" s="4" t="s">
        <v>36</v>
      </c>
      <c r="L14" s="2" t="s">
        <v>133</v>
      </c>
      <c r="M14" s="2" t="s">
        <v>134</v>
      </c>
      <c r="N14" s="4" t="s">
        <v>39</v>
      </c>
      <c r="O14" s="4" t="s">
        <v>40</v>
      </c>
      <c r="P14" s="2" t="s">
        <v>135</v>
      </c>
      <c r="Q14" s="2" t="s">
        <v>136</v>
      </c>
      <c r="R14" s="2" t="s">
        <v>137</v>
      </c>
      <c r="S14" s="2" t="s">
        <v>138</v>
      </c>
      <c r="T14" s="2" t="s">
        <v>139</v>
      </c>
      <c r="U14" s="2"/>
      <c r="V14" s="4" t="s">
        <v>46</v>
      </c>
      <c r="W14" s="2"/>
      <c r="X14" s="2"/>
      <c r="Y14" s="4"/>
      <c r="Z14" s="4"/>
    </row>
    <row r="15" spans="1:26" ht="48" x14ac:dyDescent="0.25">
      <c r="A15" s="13" t="s">
        <v>26</v>
      </c>
      <c r="B15" s="2" t="s">
        <v>27</v>
      </c>
      <c r="C15" s="2" t="s">
        <v>28</v>
      </c>
      <c r="D15" s="2" t="s">
        <v>29</v>
      </c>
      <c r="E15" s="2" t="s">
        <v>30</v>
      </c>
      <c r="F15" s="2" t="s">
        <v>31</v>
      </c>
      <c r="G15" s="2" t="s">
        <v>140</v>
      </c>
      <c r="H15" s="3" t="s">
        <v>141</v>
      </c>
      <c r="I15" s="4" t="s">
        <v>34</v>
      </c>
      <c r="J15" s="4" t="s">
        <v>35</v>
      </c>
      <c r="K15" s="4" t="s">
        <v>36</v>
      </c>
      <c r="L15" s="2" t="s">
        <v>142</v>
      </c>
      <c r="M15" s="2" t="s">
        <v>143</v>
      </c>
      <c r="N15" s="4" t="s">
        <v>39</v>
      </c>
      <c r="O15" s="4" t="s">
        <v>51</v>
      </c>
      <c r="P15" s="2" t="s">
        <v>41</v>
      </c>
      <c r="Q15" s="2" t="s">
        <v>144</v>
      </c>
      <c r="R15" s="2" t="s">
        <v>145</v>
      </c>
      <c r="S15" s="2" t="s">
        <v>146</v>
      </c>
      <c r="T15" s="2" t="s">
        <v>147</v>
      </c>
      <c r="U15" s="2"/>
      <c r="V15" s="4" t="s">
        <v>46</v>
      </c>
      <c r="W15" s="2"/>
      <c r="X15" s="2" t="s">
        <v>148</v>
      </c>
      <c r="Y15" s="4"/>
      <c r="Z15" s="4"/>
    </row>
    <row r="16" spans="1:26" ht="48" x14ac:dyDescent="0.25">
      <c r="A16" s="13" t="s">
        <v>26</v>
      </c>
      <c r="B16" s="2" t="s">
        <v>27</v>
      </c>
      <c r="C16" s="2" t="s">
        <v>28</v>
      </c>
      <c r="D16" s="2" t="s">
        <v>29</v>
      </c>
      <c r="E16" s="2" t="s">
        <v>30</v>
      </c>
      <c r="F16" s="2" t="s">
        <v>31</v>
      </c>
      <c r="G16" s="2" t="s">
        <v>149</v>
      </c>
      <c r="H16" s="3" t="s">
        <v>150</v>
      </c>
      <c r="I16" s="4" t="s">
        <v>34</v>
      </c>
      <c r="J16" s="4" t="s">
        <v>35</v>
      </c>
      <c r="K16" s="4" t="s">
        <v>36</v>
      </c>
      <c r="L16" s="2" t="s">
        <v>151</v>
      </c>
      <c r="M16" s="2" t="s">
        <v>152</v>
      </c>
      <c r="N16" s="4" t="s">
        <v>60</v>
      </c>
      <c r="O16" s="4" t="s">
        <v>40</v>
      </c>
      <c r="P16" s="2" t="s">
        <v>41</v>
      </c>
      <c r="Q16" s="2" t="s">
        <v>153</v>
      </c>
      <c r="R16" s="2" t="s">
        <v>154</v>
      </c>
      <c r="S16" s="2" t="s">
        <v>155</v>
      </c>
      <c r="T16" s="2" t="s">
        <v>156</v>
      </c>
      <c r="U16" s="2"/>
      <c r="V16" s="4" t="s">
        <v>46</v>
      </c>
      <c r="W16" s="2"/>
      <c r="X16" s="2" t="s">
        <v>157</v>
      </c>
      <c r="Y16" s="4"/>
      <c r="Z16" s="4"/>
    </row>
    <row r="17" spans="1:26" ht="48" x14ac:dyDescent="0.25">
      <c r="A17" s="13" t="s">
        <v>26</v>
      </c>
      <c r="B17" s="2" t="s">
        <v>27</v>
      </c>
      <c r="C17" s="2" t="s">
        <v>28</v>
      </c>
      <c r="D17" s="2" t="s">
        <v>29</v>
      </c>
      <c r="E17" s="2" t="s">
        <v>30</v>
      </c>
      <c r="F17" s="2" t="s">
        <v>31</v>
      </c>
      <c r="G17" s="2" t="s">
        <v>158</v>
      </c>
      <c r="H17" s="3" t="s">
        <v>159</v>
      </c>
      <c r="I17" s="4" t="s">
        <v>34</v>
      </c>
      <c r="J17" s="4" t="s">
        <v>35</v>
      </c>
      <c r="K17" s="4" t="s">
        <v>36</v>
      </c>
      <c r="L17" s="2" t="s">
        <v>160</v>
      </c>
      <c r="M17" s="2" t="s">
        <v>161</v>
      </c>
      <c r="N17" s="4" t="s">
        <v>60</v>
      </c>
      <c r="O17" s="4" t="s">
        <v>51</v>
      </c>
      <c r="P17" s="2" t="s">
        <v>41</v>
      </c>
      <c r="Q17" s="2" t="s">
        <v>162</v>
      </c>
      <c r="R17" s="2" t="s">
        <v>163</v>
      </c>
      <c r="S17" s="2" t="s">
        <v>164</v>
      </c>
      <c r="T17" s="2" t="s">
        <v>165</v>
      </c>
      <c r="U17" s="2"/>
      <c r="V17" s="4" t="s">
        <v>46</v>
      </c>
      <c r="W17" s="2"/>
      <c r="X17" s="2"/>
      <c r="Y17" s="4"/>
      <c r="Z17" s="4"/>
    </row>
    <row r="18" spans="1:26" ht="48" x14ac:dyDescent="0.25">
      <c r="A18" s="13" t="s">
        <v>26</v>
      </c>
      <c r="B18" s="2" t="s">
        <v>27</v>
      </c>
      <c r="C18" s="2" t="s">
        <v>28</v>
      </c>
      <c r="D18" s="2" t="s">
        <v>29</v>
      </c>
      <c r="E18" s="2" t="s">
        <v>30</v>
      </c>
      <c r="F18" s="2" t="s">
        <v>31</v>
      </c>
      <c r="G18" s="2" t="s">
        <v>166</v>
      </c>
      <c r="H18" s="3" t="s">
        <v>167</v>
      </c>
      <c r="I18" s="4" t="s">
        <v>34</v>
      </c>
      <c r="J18" s="4" t="s">
        <v>35</v>
      </c>
      <c r="K18" s="4" t="s">
        <v>36</v>
      </c>
      <c r="L18" s="2" t="s">
        <v>168</v>
      </c>
      <c r="M18" s="2" t="s">
        <v>169</v>
      </c>
      <c r="N18" s="4" t="s">
        <v>60</v>
      </c>
      <c r="O18" s="4" t="s">
        <v>40</v>
      </c>
      <c r="P18" s="2" t="s">
        <v>41</v>
      </c>
      <c r="Q18" s="2" t="s">
        <v>170</v>
      </c>
      <c r="R18" s="2" t="s">
        <v>171</v>
      </c>
      <c r="S18" s="2" t="s">
        <v>172</v>
      </c>
      <c r="T18" s="2" t="s">
        <v>173</v>
      </c>
      <c r="U18" s="2"/>
      <c r="V18" s="4" t="s">
        <v>46</v>
      </c>
      <c r="W18" s="2"/>
      <c r="X18" s="2" t="s">
        <v>174</v>
      </c>
      <c r="Y18" s="4"/>
      <c r="Z18" s="4"/>
    </row>
    <row r="19" spans="1:26" ht="48" x14ac:dyDescent="0.25">
      <c r="A19" s="2" t="s">
        <v>175</v>
      </c>
      <c r="B19" s="2" t="s">
        <v>176</v>
      </c>
      <c r="C19" s="2" t="s">
        <v>28</v>
      </c>
      <c r="D19" s="2" t="s">
        <v>177</v>
      </c>
      <c r="E19" s="2" t="s">
        <v>178</v>
      </c>
      <c r="F19" s="2" t="s">
        <v>179</v>
      </c>
      <c r="G19" s="2" t="s">
        <v>180</v>
      </c>
      <c r="H19" s="3" t="s">
        <v>181</v>
      </c>
      <c r="I19" s="4" t="s">
        <v>182</v>
      </c>
      <c r="J19" s="4" t="s">
        <v>183</v>
      </c>
      <c r="K19" s="4" t="s">
        <v>184</v>
      </c>
      <c r="L19" s="2" t="s">
        <v>185</v>
      </c>
      <c r="M19" s="2" t="s">
        <v>186</v>
      </c>
      <c r="N19" s="4" t="s">
        <v>39</v>
      </c>
      <c r="O19" s="4" t="s">
        <v>40</v>
      </c>
      <c r="P19" s="2" t="s">
        <v>187</v>
      </c>
      <c r="Q19" s="2" t="s">
        <v>188</v>
      </c>
      <c r="R19" s="2" t="s">
        <v>189</v>
      </c>
      <c r="S19" s="2" t="s">
        <v>190</v>
      </c>
      <c r="T19" s="2" t="s">
        <v>191</v>
      </c>
      <c r="U19" s="2"/>
      <c r="V19" s="4" t="s">
        <v>46</v>
      </c>
      <c r="W19" s="2"/>
      <c r="X19" s="2"/>
      <c r="Y19" s="4"/>
      <c r="Z19" s="4"/>
    </row>
    <row r="20" spans="1:26" ht="48" x14ac:dyDescent="0.25">
      <c r="A20" s="2" t="s">
        <v>175</v>
      </c>
      <c r="B20" s="2" t="s">
        <v>176</v>
      </c>
      <c r="C20" s="2" t="s">
        <v>28</v>
      </c>
      <c r="D20" s="2" t="s">
        <v>177</v>
      </c>
      <c r="E20" s="2" t="s">
        <v>178</v>
      </c>
      <c r="F20" s="2" t="s">
        <v>179</v>
      </c>
      <c r="G20" s="2" t="s">
        <v>192</v>
      </c>
      <c r="H20" s="3" t="s">
        <v>193</v>
      </c>
      <c r="I20" s="4" t="s">
        <v>182</v>
      </c>
      <c r="J20" s="4" t="s">
        <v>183</v>
      </c>
      <c r="K20" s="4" t="s">
        <v>184</v>
      </c>
      <c r="L20" s="2" t="s">
        <v>194</v>
      </c>
      <c r="M20" s="2" t="s">
        <v>195</v>
      </c>
      <c r="N20" s="4" t="s">
        <v>39</v>
      </c>
      <c r="O20" s="4" t="s">
        <v>40</v>
      </c>
      <c r="P20" s="2" t="s">
        <v>187</v>
      </c>
      <c r="Q20" s="2" t="s">
        <v>196</v>
      </c>
      <c r="R20" s="2" t="s">
        <v>197</v>
      </c>
      <c r="S20" s="2" t="s">
        <v>198</v>
      </c>
      <c r="T20" s="2" t="s">
        <v>199</v>
      </c>
      <c r="U20" s="2"/>
      <c r="V20" s="4" t="s">
        <v>46</v>
      </c>
      <c r="W20" s="2"/>
      <c r="X20" s="2"/>
      <c r="Y20" s="4"/>
      <c r="Z20" s="4"/>
    </row>
    <row r="21" spans="1:26" ht="60" x14ac:dyDescent="0.25">
      <c r="A21" s="2" t="s">
        <v>175</v>
      </c>
      <c r="B21" s="2" t="s">
        <v>176</v>
      </c>
      <c r="C21" s="2" t="s">
        <v>28</v>
      </c>
      <c r="D21" s="2" t="s">
        <v>177</v>
      </c>
      <c r="E21" s="2" t="s">
        <v>178</v>
      </c>
      <c r="F21" s="2" t="s">
        <v>179</v>
      </c>
      <c r="G21" s="2" t="s">
        <v>200</v>
      </c>
      <c r="H21" s="3" t="s">
        <v>201</v>
      </c>
      <c r="I21" s="4" t="s">
        <v>182</v>
      </c>
      <c r="J21" s="4" t="s">
        <v>183</v>
      </c>
      <c r="K21" s="4" t="s">
        <v>184</v>
      </c>
      <c r="L21" s="2" t="s">
        <v>202</v>
      </c>
      <c r="M21" s="2" t="s">
        <v>203</v>
      </c>
      <c r="N21" s="4" t="s">
        <v>39</v>
      </c>
      <c r="O21" s="4" t="s">
        <v>40</v>
      </c>
      <c r="P21" s="2" t="s">
        <v>204</v>
      </c>
      <c r="Q21" s="2" t="s">
        <v>205</v>
      </c>
      <c r="R21" s="2" t="s">
        <v>206</v>
      </c>
      <c r="S21" s="2" t="s">
        <v>207</v>
      </c>
      <c r="T21" s="2" t="s">
        <v>208</v>
      </c>
      <c r="U21" s="2"/>
      <c r="V21" s="4" t="s">
        <v>46</v>
      </c>
      <c r="W21" s="2"/>
      <c r="X21" s="2"/>
      <c r="Y21" s="4"/>
      <c r="Z21" s="4"/>
    </row>
    <row r="22" spans="1:26" ht="60" x14ac:dyDescent="0.25">
      <c r="A22" s="2" t="s">
        <v>175</v>
      </c>
      <c r="B22" s="2" t="s">
        <v>176</v>
      </c>
      <c r="C22" s="2" t="s">
        <v>28</v>
      </c>
      <c r="D22" s="2" t="s">
        <v>177</v>
      </c>
      <c r="E22" s="2" t="s">
        <v>178</v>
      </c>
      <c r="F22" s="2" t="s">
        <v>179</v>
      </c>
      <c r="G22" s="2" t="s">
        <v>209</v>
      </c>
      <c r="H22" s="3" t="s">
        <v>210</v>
      </c>
      <c r="I22" s="4" t="s">
        <v>182</v>
      </c>
      <c r="J22" s="4" t="s">
        <v>183</v>
      </c>
      <c r="K22" s="4" t="s">
        <v>184</v>
      </c>
      <c r="L22" s="2" t="s">
        <v>211</v>
      </c>
      <c r="M22" s="2" t="s">
        <v>212</v>
      </c>
      <c r="N22" s="4" t="s">
        <v>39</v>
      </c>
      <c r="O22" s="4" t="s">
        <v>125</v>
      </c>
      <c r="P22" s="2" t="s">
        <v>213</v>
      </c>
      <c r="Q22" s="2" t="s">
        <v>214</v>
      </c>
      <c r="R22" s="2" t="s">
        <v>215</v>
      </c>
      <c r="S22" s="2" t="s">
        <v>216</v>
      </c>
      <c r="T22" s="2" t="s">
        <v>217</v>
      </c>
      <c r="U22" s="2"/>
      <c r="V22" s="4" t="s">
        <v>46</v>
      </c>
      <c r="W22" s="2"/>
      <c r="X22" s="2"/>
      <c r="Y22" s="4"/>
      <c r="Z22" s="4"/>
    </row>
    <row r="23" spans="1:26" ht="60" x14ac:dyDescent="0.25">
      <c r="A23" s="2" t="s">
        <v>175</v>
      </c>
      <c r="B23" s="2" t="s">
        <v>176</v>
      </c>
      <c r="C23" s="2" t="s">
        <v>28</v>
      </c>
      <c r="D23" s="2" t="s">
        <v>177</v>
      </c>
      <c r="E23" s="2" t="s">
        <v>178</v>
      </c>
      <c r="F23" s="2" t="s">
        <v>179</v>
      </c>
      <c r="G23" s="2" t="s">
        <v>218</v>
      </c>
      <c r="H23" s="3" t="s">
        <v>219</v>
      </c>
      <c r="I23" s="4" t="s">
        <v>182</v>
      </c>
      <c r="J23" s="4" t="s">
        <v>183</v>
      </c>
      <c r="K23" s="4" t="s">
        <v>184</v>
      </c>
      <c r="L23" s="2" t="s">
        <v>220</v>
      </c>
      <c r="M23" s="2" t="s">
        <v>221</v>
      </c>
      <c r="N23" s="4" t="s">
        <v>39</v>
      </c>
      <c r="O23" s="4" t="s">
        <v>51</v>
      </c>
      <c r="P23" s="2" t="s">
        <v>222</v>
      </c>
      <c r="Q23" s="2" t="s">
        <v>223</v>
      </c>
      <c r="R23" s="2" t="s">
        <v>224</v>
      </c>
      <c r="S23" s="2" t="s">
        <v>225</v>
      </c>
      <c r="T23" s="2" t="s">
        <v>226</v>
      </c>
      <c r="U23" s="2"/>
      <c r="V23" s="4" t="s">
        <v>46</v>
      </c>
      <c r="W23" s="2"/>
      <c r="X23" s="2"/>
      <c r="Y23" s="4"/>
      <c r="Z23" s="4"/>
    </row>
    <row r="24" spans="1:26" ht="48" x14ac:dyDescent="0.25">
      <c r="A24" s="2" t="s">
        <v>175</v>
      </c>
      <c r="B24" s="2" t="s">
        <v>176</v>
      </c>
      <c r="C24" s="2" t="s">
        <v>28</v>
      </c>
      <c r="D24" s="2" t="s">
        <v>177</v>
      </c>
      <c r="E24" s="2" t="s">
        <v>178</v>
      </c>
      <c r="F24" s="2" t="s">
        <v>179</v>
      </c>
      <c r="G24" s="2" t="s">
        <v>227</v>
      </c>
      <c r="H24" s="3" t="s">
        <v>228</v>
      </c>
      <c r="I24" s="4" t="s">
        <v>182</v>
      </c>
      <c r="J24" s="4" t="s">
        <v>183</v>
      </c>
      <c r="K24" s="4" t="s">
        <v>184</v>
      </c>
      <c r="L24" s="2" t="s">
        <v>229</v>
      </c>
      <c r="M24" s="2" t="s">
        <v>230</v>
      </c>
      <c r="N24" s="4" t="s">
        <v>39</v>
      </c>
      <c r="O24" s="4" t="s">
        <v>40</v>
      </c>
      <c r="P24" s="2" t="s">
        <v>231</v>
      </c>
      <c r="Q24" s="2" t="s">
        <v>232</v>
      </c>
      <c r="R24" s="2" t="s">
        <v>233</v>
      </c>
      <c r="S24" s="2" t="s">
        <v>234</v>
      </c>
      <c r="T24" s="2" t="s">
        <v>235</v>
      </c>
      <c r="U24" s="2"/>
      <c r="V24" s="4" t="s">
        <v>46</v>
      </c>
      <c r="W24" s="2"/>
      <c r="X24" s="2"/>
      <c r="Y24" s="4"/>
      <c r="Z24" s="4"/>
    </row>
    <row r="25" spans="1:26" ht="60" x14ac:dyDescent="0.25">
      <c r="A25" s="13" t="s">
        <v>236</v>
      </c>
      <c r="B25" s="2" t="s">
        <v>237</v>
      </c>
      <c r="C25" s="2" t="s">
        <v>28</v>
      </c>
      <c r="D25" s="2" t="s">
        <v>238</v>
      </c>
      <c r="E25" s="2" t="s">
        <v>239</v>
      </c>
      <c r="F25" s="2" t="s">
        <v>240</v>
      </c>
      <c r="G25" s="2" t="s">
        <v>241</v>
      </c>
      <c r="H25" s="3" t="s">
        <v>242</v>
      </c>
      <c r="I25" s="4" t="s">
        <v>243</v>
      </c>
      <c r="J25" s="4" t="s">
        <v>244</v>
      </c>
      <c r="K25" s="4" t="s">
        <v>245</v>
      </c>
      <c r="L25" s="2" t="s">
        <v>246</v>
      </c>
      <c r="M25" s="2" t="s">
        <v>247</v>
      </c>
      <c r="N25" s="4" t="s">
        <v>39</v>
      </c>
      <c r="O25" s="4" t="s">
        <v>40</v>
      </c>
      <c r="P25" s="2" t="s">
        <v>248</v>
      </c>
      <c r="Q25" s="2" t="s">
        <v>117</v>
      </c>
      <c r="R25" s="2" t="s">
        <v>249</v>
      </c>
      <c r="S25" s="2" t="s">
        <v>250</v>
      </c>
      <c r="T25" s="2" t="s">
        <v>251</v>
      </c>
      <c r="U25" s="2" t="s">
        <v>501</v>
      </c>
      <c r="V25" s="4" t="s">
        <v>501</v>
      </c>
      <c r="W25" s="2"/>
      <c r="X25" s="2"/>
      <c r="Y25" s="4"/>
      <c r="Z25" s="4"/>
    </row>
    <row r="26" spans="1:26" ht="48" x14ac:dyDescent="0.25">
      <c r="A26" s="13" t="s">
        <v>236</v>
      </c>
      <c r="B26" s="2" t="s">
        <v>237</v>
      </c>
      <c r="C26" s="2" t="s">
        <v>28</v>
      </c>
      <c r="D26" s="2" t="s">
        <v>238</v>
      </c>
      <c r="E26" s="2" t="s">
        <v>239</v>
      </c>
      <c r="F26" s="2" t="s">
        <v>240</v>
      </c>
      <c r="G26" s="2" t="s">
        <v>252</v>
      </c>
      <c r="H26" s="3" t="s">
        <v>253</v>
      </c>
      <c r="I26" s="4" t="s">
        <v>243</v>
      </c>
      <c r="J26" s="4" t="s">
        <v>244</v>
      </c>
      <c r="K26" s="4" t="s">
        <v>245</v>
      </c>
      <c r="L26" s="2" t="s">
        <v>254</v>
      </c>
      <c r="M26" s="2" t="s">
        <v>255</v>
      </c>
      <c r="N26" s="4" t="s">
        <v>39</v>
      </c>
      <c r="O26" s="4" t="s">
        <v>40</v>
      </c>
      <c r="P26" s="2" t="s">
        <v>256</v>
      </c>
      <c r="Q26" s="2" t="s">
        <v>257</v>
      </c>
      <c r="R26" s="2" t="s">
        <v>258</v>
      </c>
      <c r="S26" s="2" t="s">
        <v>259</v>
      </c>
      <c r="T26" s="2" t="s">
        <v>260</v>
      </c>
      <c r="U26" s="2" t="s">
        <v>501</v>
      </c>
      <c r="V26" s="4" t="s">
        <v>501</v>
      </c>
      <c r="W26" s="2"/>
      <c r="X26" s="2"/>
      <c r="Y26" s="4"/>
      <c r="Z26" s="4"/>
    </row>
    <row r="27" spans="1:26" ht="60" x14ac:dyDescent="0.25">
      <c r="A27" s="13" t="s">
        <v>236</v>
      </c>
      <c r="B27" s="2" t="s">
        <v>237</v>
      </c>
      <c r="C27" s="2" t="s">
        <v>28</v>
      </c>
      <c r="D27" s="2" t="s">
        <v>238</v>
      </c>
      <c r="E27" s="2" t="s">
        <v>239</v>
      </c>
      <c r="F27" s="2" t="s">
        <v>240</v>
      </c>
      <c r="G27" s="2" t="s">
        <v>261</v>
      </c>
      <c r="H27" s="3" t="s">
        <v>262</v>
      </c>
      <c r="I27" s="4" t="s">
        <v>243</v>
      </c>
      <c r="J27" s="4" t="s">
        <v>244</v>
      </c>
      <c r="K27" s="4" t="s">
        <v>245</v>
      </c>
      <c r="L27" s="2" t="s">
        <v>263</v>
      </c>
      <c r="M27" s="2" t="s">
        <v>264</v>
      </c>
      <c r="N27" s="4" t="s">
        <v>39</v>
      </c>
      <c r="O27" s="4" t="s">
        <v>40</v>
      </c>
      <c r="P27" s="2" t="s">
        <v>265</v>
      </c>
      <c r="Q27" s="2" t="s">
        <v>266</v>
      </c>
      <c r="R27" s="2" t="s">
        <v>267</v>
      </c>
      <c r="S27" s="2" t="s">
        <v>268</v>
      </c>
      <c r="T27" s="2" t="s">
        <v>269</v>
      </c>
      <c r="U27" s="2" t="s">
        <v>501</v>
      </c>
      <c r="V27" s="4" t="s">
        <v>501</v>
      </c>
      <c r="W27" s="2"/>
      <c r="X27" s="2"/>
      <c r="Y27" s="4"/>
      <c r="Z27" s="4"/>
    </row>
    <row r="28" spans="1:26" ht="48" x14ac:dyDescent="0.25">
      <c r="A28" s="13" t="s">
        <v>236</v>
      </c>
      <c r="B28" s="2" t="s">
        <v>237</v>
      </c>
      <c r="C28" s="2" t="s">
        <v>28</v>
      </c>
      <c r="D28" s="2" t="s">
        <v>238</v>
      </c>
      <c r="E28" s="2" t="s">
        <v>239</v>
      </c>
      <c r="F28" s="2" t="s">
        <v>240</v>
      </c>
      <c r="G28" s="2" t="s">
        <v>270</v>
      </c>
      <c r="H28" s="3" t="s">
        <v>271</v>
      </c>
      <c r="I28" s="4" t="s">
        <v>243</v>
      </c>
      <c r="J28" s="4" t="s">
        <v>244</v>
      </c>
      <c r="K28" s="4" t="s">
        <v>245</v>
      </c>
      <c r="L28" s="2" t="s">
        <v>272</v>
      </c>
      <c r="M28" s="2" t="s">
        <v>273</v>
      </c>
      <c r="N28" s="4" t="s">
        <v>39</v>
      </c>
      <c r="O28" s="4" t="s">
        <v>93</v>
      </c>
      <c r="P28" s="2" t="s">
        <v>274</v>
      </c>
      <c r="Q28" s="2" t="s">
        <v>275</v>
      </c>
      <c r="R28" s="2" t="s">
        <v>276</v>
      </c>
      <c r="S28" s="2" t="s">
        <v>277</v>
      </c>
      <c r="T28" s="2" t="s">
        <v>278</v>
      </c>
      <c r="U28" s="2" t="s">
        <v>501</v>
      </c>
      <c r="V28" s="4" t="s">
        <v>501</v>
      </c>
      <c r="W28" s="2"/>
      <c r="X28" s="2"/>
      <c r="Y28" s="4"/>
      <c r="Z28" s="4"/>
    </row>
    <row r="29" spans="1:26" ht="48" x14ac:dyDescent="0.25">
      <c r="A29" s="13" t="s">
        <v>236</v>
      </c>
      <c r="B29" s="2" t="s">
        <v>237</v>
      </c>
      <c r="C29" s="2" t="s">
        <v>28</v>
      </c>
      <c r="D29" s="2" t="s">
        <v>238</v>
      </c>
      <c r="E29" s="2" t="s">
        <v>239</v>
      </c>
      <c r="F29" s="2" t="s">
        <v>240</v>
      </c>
      <c r="G29" s="2" t="s">
        <v>279</v>
      </c>
      <c r="H29" s="3" t="s">
        <v>280</v>
      </c>
      <c r="I29" s="4" t="s">
        <v>243</v>
      </c>
      <c r="J29" s="4" t="s">
        <v>244</v>
      </c>
      <c r="K29" s="4" t="s">
        <v>245</v>
      </c>
      <c r="L29" s="2" t="s">
        <v>281</v>
      </c>
      <c r="M29" s="2" t="s">
        <v>282</v>
      </c>
      <c r="N29" s="4" t="s">
        <v>39</v>
      </c>
      <c r="O29" s="4" t="s">
        <v>40</v>
      </c>
      <c r="P29" s="2" t="s">
        <v>265</v>
      </c>
      <c r="Q29" s="2" t="s">
        <v>283</v>
      </c>
      <c r="R29" s="2" t="s">
        <v>284</v>
      </c>
      <c r="S29" s="2" t="s">
        <v>285</v>
      </c>
      <c r="T29" s="2" t="s">
        <v>286</v>
      </c>
      <c r="U29" s="2" t="s">
        <v>501</v>
      </c>
      <c r="V29" s="4" t="s">
        <v>501</v>
      </c>
      <c r="W29" s="2"/>
      <c r="X29" s="2"/>
      <c r="Y29" s="4"/>
      <c r="Z29" s="4"/>
    </row>
    <row r="30" spans="1:26" ht="60" x14ac:dyDescent="0.25">
      <c r="A30" s="13" t="s">
        <v>236</v>
      </c>
      <c r="B30" s="2" t="s">
        <v>237</v>
      </c>
      <c r="C30" s="2" t="s">
        <v>28</v>
      </c>
      <c r="D30" s="2" t="s">
        <v>238</v>
      </c>
      <c r="E30" s="2" t="s">
        <v>239</v>
      </c>
      <c r="F30" s="2" t="s">
        <v>240</v>
      </c>
      <c r="G30" s="2" t="s">
        <v>287</v>
      </c>
      <c r="H30" s="3" t="s">
        <v>288</v>
      </c>
      <c r="I30" s="4" t="s">
        <v>243</v>
      </c>
      <c r="J30" s="4" t="s">
        <v>244</v>
      </c>
      <c r="K30" s="4" t="s">
        <v>245</v>
      </c>
      <c r="L30" s="2" t="s">
        <v>289</v>
      </c>
      <c r="M30" s="2" t="s">
        <v>290</v>
      </c>
      <c r="N30" s="4" t="s">
        <v>39</v>
      </c>
      <c r="O30" s="4" t="s">
        <v>40</v>
      </c>
      <c r="P30" s="2" t="s">
        <v>291</v>
      </c>
      <c r="Q30" s="2" t="s">
        <v>292</v>
      </c>
      <c r="R30" s="2" t="s">
        <v>293</v>
      </c>
      <c r="S30" s="2" t="s">
        <v>294</v>
      </c>
      <c r="T30" s="2" t="s">
        <v>295</v>
      </c>
      <c r="U30" s="2" t="s">
        <v>501</v>
      </c>
      <c r="V30" s="4" t="s">
        <v>501</v>
      </c>
      <c r="W30" s="2"/>
      <c r="X30" s="2"/>
      <c r="Y30" s="4"/>
      <c r="Z30" s="4"/>
    </row>
    <row r="31" spans="1:26" ht="48" x14ac:dyDescent="0.25">
      <c r="A31" s="13" t="s">
        <v>236</v>
      </c>
      <c r="B31" s="2" t="s">
        <v>237</v>
      </c>
      <c r="C31" s="2" t="s">
        <v>28</v>
      </c>
      <c r="D31" s="2" t="s">
        <v>238</v>
      </c>
      <c r="E31" s="2" t="s">
        <v>239</v>
      </c>
      <c r="F31" s="2" t="s">
        <v>240</v>
      </c>
      <c r="G31" s="2" t="s">
        <v>296</v>
      </c>
      <c r="H31" s="3" t="s">
        <v>297</v>
      </c>
      <c r="I31" s="4" t="s">
        <v>243</v>
      </c>
      <c r="J31" s="4" t="s">
        <v>244</v>
      </c>
      <c r="K31" s="4" t="s">
        <v>245</v>
      </c>
      <c r="L31" s="2" t="s">
        <v>298</v>
      </c>
      <c r="M31" s="2" t="s">
        <v>299</v>
      </c>
      <c r="N31" s="4" t="s">
        <v>39</v>
      </c>
      <c r="O31" s="4" t="s">
        <v>125</v>
      </c>
      <c r="P31" s="2" t="s">
        <v>300</v>
      </c>
      <c r="Q31" s="2" t="s">
        <v>301</v>
      </c>
      <c r="R31" s="2" t="s">
        <v>302</v>
      </c>
      <c r="S31" s="2" t="s">
        <v>303</v>
      </c>
      <c r="T31" s="2" t="s">
        <v>304</v>
      </c>
      <c r="U31" s="2" t="s">
        <v>501</v>
      </c>
      <c r="V31" s="4" t="s">
        <v>501</v>
      </c>
      <c r="W31" s="2"/>
      <c r="X31" s="2"/>
      <c r="Y31" s="4"/>
      <c r="Z31" s="4"/>
    </row>
    <row r="32" spans="1:26" ht="48" x14ac:dyDescent="0.25">
      <c r="A32" s="13" t="s">
        <v>236</v>
      </c>
      <c r="B32" s="2" t="s">
        <v>237</v>
      </c>
      <c r="C32" s="2" t="s">
        <v>28</v>
      </c>
      <c r="D32" s="2" t="s">
        <v>238</v>
      </c>
      <c r="E32" s="2" t="s">
        <v>239</v>
      </c>
      <c r="F32" s="2" t="s">
        <v>240</v>
      </c>
      <c r="G32" s="2" t="s">
        <v>305</v>
      </c>
      <c r="H32" s="3" t="s">
        <v>306</v>
      </c>
      <c r="I32" s="4" t="s">
        <v>243</v>
      </c>
      <c r="J32" s="4" t="s">
        <v>244</v>
      </c>
      <c r="K32" s="4" t="s">
        <v>245</v>
      </c>
      <c r="L32" s="2" t="s">
        <v>307</v>
      </c>
      <c r="M32" s="2" t="s">
        <v>308</v>
      </c>
      <c r="N32" s="4" t="s">
        <v>39</v>
      </c>
      <c r="O32" s="4" t="s">
        <v>93</v>
      </c>
      <c r="P32" s="2" t="s">
        <v>309</v>
      </c>
      <c r="Q32" s="2" t="s">
        <v>310</v>
      </c>
      <c r="R32" s="2" t="s">
        <v>311</v>
      </c>
      <c r="S32" s="2" t="s">
        <v>312</v>
      </c>
      <c r="T32" s="2" t="s">
        <v>313</v>
      </c>
      <c r="U32" s="2" t="s">
        <v>501</v>
      </c>
      <c r="V32" s="4" t="s">
        <v>501</v>
      </c>
      <c r="W32" s="2"/>
      <c r="X32" s="2"/>
      <c r="Y32" s="4"/>
      <c r="Z32" s="4"/>
    </row>
    <row r="33" spans="1:26" ht="48" x14ac:dyDescent="0.25">
      <c r="A33" s="13" t="s">
        <v>26</v>
      </c>
      <c r="B33" s="2" t="s">
        <v>27</v>
      </c>
      <c r="C33" s="2" t="s">
        <v>28</v>
      </c>
      <c r="D33" s="2" t="s">
        <v>314</v>
      </c>
      <c r="E33" s="2" t="s">
        <v>315</v>
      </c>
      <c r="F33" s="2" t="s">
        <v>316</v>
      </c>
      <c r="G33" s="2" t="s">
        <v>317</v>
      </c>
      <c r="H33" s="3" t="s">
        <v>318</v>
      </c>
      <c r="I33" s="4" t="s">
        <v>34</v>
      </c>
      <c r="J33" s="4" t="s">
        <v>319</v>
      </c>
      <c r="K33" s="4" t="s">
        <v>320</v>
      </c>
      <c r="L33" s="2" t="s">
        <v>321</v>
      </c>
      <c r="M33" s="2" t="s">
        <v>322</v>
      </c>
      <c r="N33" s="4" t="s">
        <v>39</v>
      </c>
      <c r="O33" s="4" t="s">
        <v>40</v>
      </c>
      <c r="P33" s="2" t="s">
        <v>309</v>
      </c>
      <c r="Q33" s="2" t="s">
        <v>310</v>
      </c>
      <c r="R33" s="2" t="s">
        <v>323</v>
      </c>
      <c r="S33" s="2" t="s">
        <v>324</v>
      </c>
      <c r="T33" s="2" t="s">
        <v>325</v>
      </c>
      <c r="U33" s="2" t="s">
        <v>501</v>
      </c>
      <c r="V33" s="4" t="s">
        <v>501</v>
      </c>
      <c r="W33" s="2"/>
      <c r="X33" s="2"/>
      <c r="Y33" s="4"/>
      <c r="Z33" s="4"/>
    </row>
    <row r="34" spans="1:26" ht="48" x14ac:dyDescent="0.25">
      <c r="A34" s="13" t="s">
        <v>26</v>
      </c>
      <c r="B34" s="2" t="s">
        <v>27</v>
      </c>
      <c r="C34" s="2" t="s">
        <v>28</v>
      </c>
      <c r="D34" s="2" t="s">
        <v>314</v>
      </c>
      <c r="E34" s="2" t="s">
        <v>315</v>
      </c>
      <c r="F34" s="2" t="s">
        <v>316</v>
      </c>
      <c r="G34" s="2" t="s">
        <v>326</v>
      </c>
      <c r="H34" s="3" t="s">
        <v>327</v>
      </c>
      <c r="I34" s="4" t="s">
        <v>34</v>
      </c>
      <c r="J34" s="4" t="s">
        <v>319</v>
      </c>
      <c r="K34" s="4" t="s">
        <v>320</v>
      </c>
      <c r="L34" s="2" t="s">
        <v>328</v>
      </c>
      <c r="M34" s="2" t="s">
        <v>329</v>
      </c>
      <c r="N34" s="4" t="s">
        <v>39</v>
      </c>
      <c r="O34" s="4" t="s">
        <v>93</v>
      </c>
      <c r="P34" s="2" t="s">
        <v>330</v>
      </c>
      <c r="Q34" s="2" t="s">
        <v>331</v>
      </c>
      <c r="R34" s="2" t="s">
        <v>332</v>
      </c>
      <c r="S34" s="2" t="s">
        <v>333</v>
      </c>
      <c r="T34" s="2" t="s">
        <v>334</v>
      </c>
      <c r="U34" s="2" t="s">
        <v>501</v>
      </c>
      <c r="V34" s="4" t="s">
        <v>501</v>
      </c>
      <c r="W34" s="2"/>
      <c r="X34" s="2"/>
      <c r="Y34" s="4"/>
      <c r="Z34" s="4"/>
    </row>
    <row r="35" spans="1:26" ht="48" x14ac:dyDescent="0.25">
      <c r="A35" s="13" t="s">
        <v>26</v>
      </c>
      <c r="B35" s="2" t="s">
        <v>27</v>
      </c>
      <c r="C35" s="2" t="s">
        <v>28</v>
      </c>
      <c r="D35" s="2" t="s">
        <v>314</v>
      </c>
      <c r="E35" s="2" t="s">
        <v>315</v>
      </c>
      <c r="F35" s="2" t="s">
        <v>316</v>
      </c>
      <c r="G35" s="2" t="s">
        <v>335</v>
      </c>
      <c r="H35" s="3" t="s">
        <v>336</v>
      </c>
      <c r="I35" s="4" t="s">
        <v>34</v>
      </c>
      <c r="J35" s="4" t="s">
        <v>319</v>
      </c>
      <c r="K35" s="4" t="s">
        <v>320</v>
      </c>
      <c r="L35" s="2" t="s">
        <v>337</v>
      </c>
      <c r="M35" s="2" t="s">
        <v>338</v>
      </c>
      <c r="N35" s="4" t="s">
        <v>339</v>
      </c>
      <c r="O35" s="4" t="s">
        <v>40</v>
      </c>
      <c r="P35" s="2" t="s">
        <v>340</v>
      </c>
      <c r="Q35" s="2" t="s">
        <v>341</v>
      </c>
      <c r="R35" s="2" t="s">
        <v>342</v>
      </c>
      <c r="S35" s="2" t="s">
        <v>343</v>
      </c>
      <c r="T35" s="2" t="s">
        <v>344</v>
      </c>
      <c r="U35" s="2" t="s">
        <v>503</v>
      </c>
      <c r="V35" s="4" t="s">
        <v>503</v>
      </c>
      <c r="W35" s="2"/>
      <c r="X35" s="2"/>
      <c r="Y35" s="4"/>
      <c r="Z35" s="4"/>
    </row>
    <row r="36" spans="1:26" ht="48" x14ac:dyDescent="0.25">
      <c r="A36" s="13" t="s">
        <v>26</v>
      </c>
      <c r="B36" s="2" t="s">
        <v>27</v>
      </c>
      <c r="C36" s="2" t="s">
        <v>28</v>
      </c>
      <c r="D36" s="2" t="s">
        <v>314</v>
      </c>
      <c r="E36" s="2" t="s">
        <v>315</v>
      </c>
      <c r="F36" s="2" t="s">
        <v>316</v>
      </c>
      <c r="G36" s="2" t="s">
        <v>345</v>
      </c>
      <c r="H36" s="3" t="s">
        <v>346</v>
      </c>
      <c r="I36" s="4" t="s">
        <v>34</v>
      </c>
      <c r="J36" s="4" t="s">
        <v>319</v>
      </c>
      <c r="K36" s="4" t="s">
        <v>320</v>
      </c>
      <c r="L36" s="2" t="s">
        <v>347</v>
      </c>
      <c r="M36" s="2" t="s">
        <v>348</v>
      </c>
      <c r="N36" s="4" t="s">
        <v>339</v>
      </c>
      <c r="O36" s="4" t="s">
        <v>93</v>
      </c>
      <c r="P36" s="2" t="s">
        <v>349</v>
      </c>
      <c r="Q36" s="2" t="s">
        <v>310</v>
      </c>
      <c r="R36" s="2" t="s">
        <v>350</v>
      </c>
      <c r="S36" s="2" t="s">
        <v>351</v>
      </c>
      <c r="T36" s="2" t="s">
        <v>352</v>
      </c>
      <c r="U36" s="2" t="s">
        <v>505</v>
      </c>
      <c r="V36" s="4" t="s">
        <v>505</v>
      </c>
      <c r="W36" s="2"/>
      <c r="X36" s="2"/>
      <c r="Y36" s="4"/>
      <c r="Z36" s="4"/>
    </row>
    <row r="37" spans="1:26" ht="48" x14ac:dyDescent="0.25">
      <c r="A37" s="13" t="s">
        <v>26</v>
      </c>
      <c r="B37" s="2" t="s">
        <v>27</v>
      </c>
      <c r="C37" s="2" t="s">
        <v>28</v>
      </c>
      <c r="D37" s="2" t="s">
        <v>314</v>
      </c>
      <c r="E37" s="2" t="s">
        <v>315</v>
      </c>
      <c r="F37" s="2" t="s">
        <v>316</v>
      </c>
      <c r="G37" s="2" t="s">
        <v>353</v>
      </c>
      <c r="H37" s="3" t="s">
        <v>354</v>
      </c>
      <c r="I37" s="4" t="s">
        <v>34</v>
      </c>
      <c r="J37" s="4" t="s">
        <v>319</v>
      </c>
      <c r="K37" s="4" t="s">
        <v>320</v>
      </c>
      <c r="L37" s="2" t="s">
        <v>355</v>
      </c>
      <c r="M37" s="2" t="s">
        <v>356</v>
      </c>
      <c r="N37" s="4" t="s">
        <v>339</v>
      </c>
      <c r="O37" s="4" t="s">
        <v>125</v>
      </c>
      <c r="P37" s="2" t="s">
        <v>357</v>
      </c>
      <c r="Q37" s="2" t="s">
        <v>349</v>
      </c>
      <c r="R37" s="2" t="s">
        <v>358</v>
      </c>
      <c r="S37" s="2" t="s">
        <v>359</v>
      </c>
      <c r="T37" s="2" t="s">
        <v>360</v>
      </c>
      <c r="U37" s="2" t="s">
        <v>505</v>
      </c>
      <c r="V37" s="4" t="s">
        <v>505</v>
      </c>
      <c r="W37" s="2"/>
      <c r="X37" s="2"/>
      <c r="Y37" s="4"/>
      <c r="Z37" s="4"/>
    </row>
    <row r="38" spans="1:26" ht="48" x14ac:dyDescent="0.25">
      <c r="A38" s="13" t="s">
        <v>26</v>
      </c>
      <c r="B38" s="2" t="s">
        <v>27</v>
      </c>
      <c r="C38" s="2" t="s">
        <v>28</v>
      </c>
      <c r="D38" s="2" t="s">
        <v>314</v>
      </c>
      <c r="E38" s="2" t="s">
        <v>315</v>
      </c>
      <c r="F38" s="2" t="s">
        <v>316</v>
      </c>
      <c r="G38" s="2" t="s">
        <v>361</v>
      </c>
      <c r="H38" s="3" t="s">
        <v>362</v>
      </c>
      <c r="I38" s="4" t="s">
        <v>34</v>
      </c>
      <c r="J38" s="4" t="s">
        <v>319</v>
      </c>
      <c r="K38" s="4" t="s">
        <v>320</v>
      </c>
      <c r="L38" s="2" t="s">
        <v>363</v>
      </c>
      <c r="M38" s="2" t="s">
        <v>364</v>
      </c>
      <c r="N38" s="4" t="s">
        <v>339</v>
      </c>
      <c r="O38" s="4" t="s">
        <v>125</v>
      </c>
      <c r="P38" s="2" t="s">
        <v>365</v>
      </c>
      <c r="Q38" s="2" t="s">
        <v>366</v>
      </c>
      <c r="R38" s="2" t="s">
        <v>367</v>
      </c>
      <c r="S38" s="2" t="s">
        <v>368</v>
      </c>
      <c r="T38" s="2" t="s">
        <v>369</v>
      </c>
      <c r="U38" s="2" t="s">
        <v>505</v>
      </c>
      <c r="V38" s="4" t="s">
        <v>505</v>
      </c>
      <c r="W38" s="2"/>
      <c r="X38" s="2"/>
      <c r="Y38" s="4"/>
      <c r="Z38" s="4"/>
    </row>
    <row r="39" spans="1:26" ht="48" x14ac:dyDescent="0.25">
      <c r="A39" s="13" t="s">
        <v>26</v>
      </c>
      <c r="B39" s="2" t="s">
        <v>27</v>
      </c>
      <c r="C39" s="2" t="s">
        <v>28</v>
      </c>
      <c r="D39" s="2" t="s">
        <v>314</v>
      </c>
      <c r="E39" s="2" t="s">
        <v>315</v>
      </c>
      <c r="F39" s="2" t="s">
        <v>316</v>
      </c>
      <c r="G39" s="2" t="s">
        <v>370</v>
      </c>
      <c r="H39" s="3" t="s">
        <v>371</v>
      </c>
      <c r="I39" s="4" t="s">
        <v>34</v>
      </c>
      <c r="J39" s="4" t="s">
        <v>319</v>
      </c>
      <c r="K39" s="4" t="s">
        <v>320</v>
      </c>
      <c r="L39" s="2" t="s">
        <v>372</v>
      </c>
      <c r="M39" s="2" t="s">
        <v>373</v>
      </c>
      <c r="N39" s="4" t="s">
        <v>339</v>
      </c>
      <c r="O39" s="4" t="s">
        <v>125</v>
      </c>
      <c r="P39" s="2" t="s">
        <v>374</v>
      </c>
      <c r="Q39" s="2" t="s">
        <v>375</v>
      </c>
      <c r="R39" s="2" t="s">
        <v>376</v>
      </c>
      <c r="S39" s="2" t="s">
        <v>377</v>
      </c>
      <c r="T39" s="2" t="s">
        <v>378</v>
      </c>
      <c r="U39" s="2" t="s">
        <v>505</v>
      </c>
      <c r="V39" s="4" t="s">
        <v>505</v>
      </c>
      <c r="W39" s="2"/>
      <c r="X39" s="2"/>
      <c r="Y39" s="4"/>
      <c r="Z39" s="4"/>
    </row>
    <row r="40" spans="1:26" ht="60" x14ac:dyDescent="0.25">
      <c r="A40" s="13" t="s">
        <v>26</v>
      </c>
      <c r="B40" s="2" t="s">
        <v>27</v>
      </c>
      <c r="C40" s="2" t="s">
        <v>28</v>
      </c>
      <c r="D40" s="2" t="s">
        <v>314</v>
      </c>
      <c r="E40" s="2" t="s">
        <v>315</v>
      </c>
      <c r="F40" s="2" t="s">
        <v>316</v>
      </c>
      <c r="G40" s="2" t="s">
        <v>379</v>
      </c>
      <c r="H40" s="3" t="s">
        <v>380</v>
      </c>
      <c r="I40" s="4" t="s">
        <v>34</v>
      </c>
      <c r="J40" s="4" t="s">
        <v>319</v>
      </c>
      <c r="K40" s="4" t="s">
        <v>320</v>
      </c>
      <c r="L40" s="2" t="s">
        <v>381</v>
      </c>
      <c r="M40" s="2" t="s">
        <v>382</v>
      </c>
      <c r="N40" s="4" t="s">
        <v>339</v>
      </c>
      <c r="O40" s="4" t="s">
        <v>383</v>
      </c>
      <c r="P40" s="2" t="s">
        <v>384</v>
      </c>
      <c r="Q40" s="2" t="s">
        <v>385</v>
      </c>
      <c r="R40" s="2" t="s">
        <v>386</v>
      </c>
      <c r="S40" s="2" t="s">
        <v>387</v>
      </c>
      <c r="T40" s="2" t="s">
        <v>388</v>
      </c>
      <c r="U40" s="2"/>
      <c r="V40" s="4" t="s">
        <v>46</v>
      </c>
      <c r="W40" s="2"/>
      <c r="X40" s="2" t="s">
        <v>389</v>
      </c>
      <c r="Y40" s="4"/>
      <c r="Z40" s="4"/>
    </row>
    <row r="41" spans="1:26" ht="48" x14ac:dyDescent="0.25">
      <c r="A41" s="13" t="s">
        <v>26</v>
      </c>
      <c r="B41" s="2" t="s">
        <v>27</v>
      </c>
      <c r="C41" s="2" t="s">
        <v>28</v>
      </c>
      <c r="D41" s="2" t="s">
        <v>314</v>
      </c>
      <c r="E41" s="2" t="s">
        <v>315</v>
      </c>
      <c r="F41" s="2" t="s">
        <v>316</v>
      </c>
      <c r="G41" s="2" t="s">
        <v>390</v>
      </c>
      <c r="H41" s="3" t="s">
        <v>391</v>
      </c>
      <c r="I41" s="4" t="s">
        <v>34</v>
      </c>
      <c r="J41" s="4" t="s">
        <v>319</v>
      </c>
      <c r="K41" s="4" t="s">
        <v>320</v>
      </c>
      <c r="L41" s="2" t="s">
        <v>392</v>
      </c>
      <c r="M41" s="2" t="s">
        <v>393</v>
      </c>
      <c r="N41" s="4" t="s">
        <v>39</v>
      </c>
      <c r="O41" s="4" t="s">
        <v>40</v>
      </c>
      <c r="P41" s="2" t="s">
        <v>340</v>
      </c>
      <c r="Q41" s="2" t="s">
        <v>341</v>
      </c>
      <c r="R41" s="2" t="s">
        <v>394</v>
      </c>
      <c r="S41" s="2" t="s">
        <v>395</v>
      </c>
      <c r="T41" s="2" t="s">
        <v>396</v>
      </c>
      <c r="U41" s="2"/>
      <c r="V41" s="4" t="s">
        <v>46</v>
      </c>
      <c r="W41" s="2"/>
      <c r="X41" s="2"/>
      <c r="Y41" s="4"/>
      <c r="Z41" s="4"/>
    </row>
    <row r="42" spans="1:26" ht="48" x14ac:dyDescent="0.25">
      <c r="A42" s="13" t="s">
        <v>26</v>
      </c>
      <c r="B42" s="2" t="s">
        <v>27</v>
      </c>
      <c r="C42" s="2" t="s">
        <v>28</v>
      </c>
      <c r="D42" s="2" t="s">
        <v>314</v>
      </c>
      <c r="E42" s="2" t="s">
        <v>315</v>
      </c>
      <c r="F42" s="2" t="s">
        <v>316</v>
      </c>
      <c r="G42" s="2" t="s">
        <v>397</v>
      </c>
      <c r="H42" s="3" t="s">
        <v>398</v>
      </c>
      <c r="I42" s="4" t="s">
        <v>34</v>
      </c>
      <c r="J42" s="4" t="s">
        <v>319</v>
      </c>
      <c r="K42" s="4" t="s">
        <v>320</v>
      </c>
      <c r="L42" s="2" t="s">
        <v>399</v>
      </c>
      <c r="M42" s="2" t="s">
        <v>400</v>
      </c>
      <c r="N42" s="4" t="s">
        <v>39</v>
      </c>
      <c r="O42" s="4" t="s">
        <v>93</v>
      </c>
      <c r="P42" s="2" t="s">
        <v>401</v>
      </c>
      <c r="Q42" s="2" t="s">
        <v>310</v>
      </c>
      <c r="R42" s="2" t="s">
        <v>402</v>
      </c>
      <c r="S42" s="2" t="s">
        <v>403</v>
      </c>
      <c r="T42" s="2" t="s">
        <v>404</v>
      </c>
      <c r="U42" s="2"/>
      <c r="V42" s="4" t="s">
        <v>46</v>
      </c>
      <c r="W42" s="2"/>
      <c r="X42" s="2"/>
      <c r="Y42" s="4"/>
      <c r="Z42" s="4"/>
    </row>
    <row r="43" spans="1:26" ht="48" x14ac:dyDescent="0.25">
      <c r="A43" s="13" t="s">
        <v>26</v>
      </c>
      <c r="B43" s="2" t="s">
        <v>27</v>
      </c>
      <c r="C43" s="2" t="s">
        <v>28</v>
      </c>
      <c r="D43" s="2" t="s">
        <v>314</v>
      </c>
      <c r="E43" s="2" t="s">
        <v>315</v>
      </c>
      <c r="F43" s="2" t="s">
        <v>316</v>
      </c>
      <c r="G43" s="2" t="s">
        <v>405</v>
      </c>
      <c r="H43" s="3" t="s">
        <v>406</v>
      </c>
      <c r="I43" s="4" t="s">
        <v>34</v>
      </c>
      <c r="J43" s="4" t="s">
        <v>319</v>
      </c>
      <c r="K43" s="4" t="s">
        <v>320</v>
      </c>
      <c r="L43" s="2" t="s">
        <v>407</v>
      </c>
      <c r="M43" s="2" t="s">
        <v>408</v>
      </c>
      <c r="N43" s="4" t="s">
        <v>339</v>
      </c>
      <c r="O43" s="4" t="s">
        <v>51</v>
      </c>
      <c r="P43" s="2" t="s">
        <v>409</v>
      </c>
      <c r="Q43" s="2" t="s">
        <v>401</v>
      </c>
      <c r="R43" s="2" t="s">
        <v>410</v>
      </c>
      <c r="S43" s="2" t="s">
        <v>411</v>
      </c>
      <c r="T43" s="2" t="s">
        <v>412</v>
      </c>
      <c r="U43" s="2"/>
      <c r="V43" s="4" t="s">
        <v>46</v>
      </c>
      <c r="W43" s="2"/>
      <c r="X43" s="2"/>
      <c r="Y43" s="4"/>
      <c r="Z43" s="4"/>
    </row>
    <row r="44" spans="1:26" ht="60" x14ac:dyDescent="0.25">
      <c r="A44" s="13" t="s">
        <v>26</v>
      </c>
      <c r="B44" s="2" t="s">
        <v>27</v>
      </c>
      <c r="C44" s="2" t="s">
        <v>28</v>
      </c>
      <c r="D44" s="2" t="s">
        <v>314</v>
      </c>
      <c r="E44" s="2" t="s">
        <v>315</v>
      </c>
      <c r="F44" s="2" t="s">
        <v>316</v>
      </c>
      <c r="G44" s="2" t="s">
        <v>413</v>
      </c>
      <c r="H44" s="3" t="s">
        <v>414</v>
      </c>
      <c r="I44" s="4" t="s">
        <v>34</v>
      </c>
      <c r="J44" s="4" t="s">
        <v>319</v>
      </c>
      <c r="K44" s="4" t="s">
        <v>320</v>
      </c>
      <c r="L44" s="2" t="s">
        <v>415</v>
      </c>
      <c r="M44" s="2" t="s">
        <v>416</v>
      </c>
      <c r="N44" s="4" t="s">
        <v>339</v>
      </c>
      <c r="O44" s="4" t="s">
        <v>51</v>
      </c>
      <c r="P44" s="2" t="s">
        <v>417</v>
      </c>
      <c r="Q44" s="2" t="s">
        <v>349</v>
      </c>
      <c r="R44" s="2" t="s">
        <v>418</v>
      </c>
      <c r="S44" s="2" t="s">
        <v>419</v>
      </c>
      <c r="T44" s="2" t="s">
        <v>420</v>
      </c>
      <c r="U44" s="2"/>
      <c r="V44" s="4" t="s">
        <v>46</v>
      </c>
      <c r="W44" s="2"/>
      <c r="X44" s="2"/>
      <c r="Y44" s="4"/>
      <c r="Z44" s="4"/>
    </row>
    <row r="45" spans="1:26" ht="48" x14ac:dyDescent="0.25">
      <c r="A45" s="13" t="s">
        <v>26</v>
      </c>
      <c r="B45" s="2" t="s">
        <v>27</v>
      </c>
      <c r="C45" s="2" t="s">
        <v>28</v>
      </c>
      <c r="D45" s="2" t="s">
        <v>314</v>
      </c>
      <c r="E45" s="2" t="s">
        <v>315</v>
      </c>
      <c r="F45" s="2" t="s">
        <v>316</v>
      </c>
      <c r="G45" s="2" t="s">
        <v>421</v>
      </c>
      <c r="H45" s="3" t="s">
        <v>422</v>
      </c>
      <c r="I45" s="4" t="s">
        <v>34</v>
      </c>
      <c r="J45" s="4" t="s">
        <v>319</v>
      </c>
      <c r="K45" s="4" t="s">
        <v>320</v>
      </c>
      <c r="L45" s="2" t="s">
        <v>423</v>
      </c>
      <c r="M45" s="2" t="s">
        <v>424</v>
      </c>
      <c r="N45" s="4" t="s">
        <v>39</v>
      </c>
      <c r="O45" s="4" t="s">
        <v>40</v>
      </c>
      <c r="P45" s="2" t="s">
        <v>425</v>
      </c>
      <c r="Q45" s="2" t="s">
        <v>310</v>
      </c>
      <c r="R45" s="2" t="s">
        <v>426</v>
      </c>
      <c r="S45" s="2" t="s">
        <v>427</v>
      </c>
      <c r="T45" s="2" t="s">
        <v>428</v>
      </c>
      <c r="U45" s="2"/>
      <c r="V45" s="4" t="s">
        <v>46</v>
      </c>
      <c r="W45" s="2"/>
      <c r="X45" s="2" t="s">
        <v>429</v>
      </c>
      <c r="Y45" s="4"/>
      <c r="Z45" s="4"/>
    </row>
    <row r="46" spans="1:26" ht="60" x14ac:dyDescent="0.25">
      <c r="A46" s="13" t="s">
        <v>26</v>
      </c>
      <c r="B46" s="2" t="s">
        <v>27</v>
      </c>
      <c r="C46" s="2" t="s">
        <v>28</v>
      </c>
      <c r="D46" s="2" t="s">
        <v>314</v>
      </c>
      <c r="E46" s="2" t="s">
        <v>315</v>
      </c>
      <c r="F46" s="2" t="s">
        <v>316</v>
      </c>
      <c r="G46" s="2" t="s">
        <v>430</v>
      </c>
      <c r="H46" s="3" t="s">
        <v>431</v>
      </c>
      <c r="I46" s="4" t="s">
        <v>34</v>
      </c>
      <c r="J46" s="4" t="s">
        <v>319</v>
      </c>
      <c r="K46" s="4" t="s">
        <v>320</v>
      </c>
      <c r="L46" s="2" t="s">
        <v>432</v>
      </c>
      <c r="M46" s="2" t="s">
        <v>433</v>
      </c>
      <c r="N46" s="4" t="s">
        <v>39</v>
      </c>
      <c r="O46" s="4" t="s">
        <v>51</v>
      </c>
      <c r="P46" s="2" t="s">
        <v>434</v>
      </c>
      <c r="Q46" s="2" t="s">
        <v>435</v>
      </c>
      <c r="R46" s="2" t="s">
        <v>436</v>
      </c>
      <c r="S46" s="2" t="s">
        <v>437</v>
      </c>
      <c r="T46" s="2" t="s">
        <v>438</v>
      </c>
      <c r="U46" s="2"/>
      <c r="V46" s="4" t="s">
        <v>46</v>
      </c>
      <c r="W46" s="2"/>
      <c r="X46" s="2" t="s">
        <v>522</v>
      </c>
      <c r="Y46" s="4"/>
      <c r="Z46" s="4"/>
    </row>
    <row r="47" spans="1:26" ht="264" x14ac:dyDescent="0.25">
      <c r="A47" s="2" t="s">
        <v>439</v>
      </c>
      <c r="B47" s="2" t="s">
        <v>440</v>
      </c>
      <c r="C47" s="2" t="s">
        <v>28</v>
      </c>
      <c r="D47" s="2" t="s">
        <v>441</v>
      </c>
      <c r="E47" s="2" t="s">
        <v>442</v>
      </c>
      <c r="F47" s="2" t="s">
        <v>443</v>
      </c>
      <c r="G47" s="2" t="s">
        <v>444</v>
      </c>
      <c r="H47" s="3" t="s">
        <v>445</v>
      </c>
      <c r="I47" s="4" t="s">
        <v>446</v>
      </c>
      <c r="J47" s="4" t="s">
        <v>447</v>
      </c>
      <c r="K47" s="4" t="s">
        <v>448</v>
      </c>
      <c r="L47" s="2" t="s">
        <v>449</v>
      </c>
      <c r="M47" s="2" t="s">
        <v>450</v>
      </c>
      <c r="N47" s="4" t="s">
        <v>339</v>
      </c>
      <c r="O47" s="4" t="s">
        <v>383</v>
      </c>
      <c r="P47" s="2" t="s">
        <v>451</v>
      </c>
      <c r="Q47" s="2" t="s">
        <v>452</v>
      </c>
      <c r="R47" s="2" t="s">
        <v>453</v>
      </c>
      <c r="S47" s="2" t="s">
        <v>454</v>
      </c>
      <c r="T47" s="2" t="s">
        <v>455</v>
      </c>
      <c r="U47" s="2"/>
      <c r="V47" s="4" t="s">
        <v>46</v>
      </c>
      <c r="W47" s="2"/>
      <c r="X47" s="2" t="s">
        <v>456</v>
      </c>
      <c r="Y47" s="4"/>
      <c r="Z47" s="4"/>
    </row>
    <row r="48" spans="1:26" ht="60" x14ac:dyDescent="0.25">
      <c r="A48" s="2" t="s">
        <v>439</v>
      </c>
      <c r="B48" s="2" t="s">
        <v>440</v>
      </c>
      <c r="C48" s="2" t="s">
        <v>28</v>
      </c>
      <c r="D48" s="2" t="s">
        <v>441</v>
      </c>
      <c r="E48" s="2" t="s">
        <v>442</v>
      </c>
      <c r="F48" s="2" t="s">
        <v>443</v>
      </c>
      <c r="G48" s="2" t="s">
        <v>457</v>
      </c>
      <c r="H48" s="3" t="s">
        <v>458</v>
      </c>
      <c r="I48" s="4" t="s">
        <v>446</v>
      </c>
      <c r="J48" s="4" t="s">
        <v>447</v>
      </c>
      <c r="K48" s="4" t="s">
        <v>448</v>
      </c>
      <c r="L48" s="2" t="s">
        <v>459</v>
      </c>
      <c r="M48" s="2" t="s">
        <v>460</v>
      </c>
      <c r="N48" s="4" t="s">
        <v>339</v>
      </c>
      <c r="O48" s="4" t="s">
        <v>383</v>
      </c>
      <c r="P48" s="2" t="s">
        <v>461</v>
      </c>
      <c r="Q48" s="2" t="s">
        <v>462</v>
      </c>
      <c r="R48" s="2" t="s">
        <v>463</v>
      </c>
      <c r="S48" s="2" t="s">
        <v>464</v>
      </c>
      <c r="T48" s="2" t="s">
        <v>465</v>
      </c>
      <c r="U48" s="2"/>
      <c r="V48" s="4" t="s">
        <v>46</v>
      </c>
      <c r="W48" s="2"/>
      <c r="X48" s="2"/>
      <c r="Y48" s="4"/>
      <c r="Z48" s="4"/>
    </row>
    <row r="49" spans="1:26" ht="60" x14ac:dyDescent="0.25">
      <c r="A49" s="2" t="s">
        <v>439</v>
      </c>
      <c r="B49" s="2" t="s">
        <v>440</v>
      </c>
      <c r="C49" s="2" t="s">
        <v>28</v>
      </c>
      <c r="D49" s="2" t="s">
        <v>441</v>
      </c>
      <c r="E49" s="2" t="s">
        <v>442</v>
      </c>
      <c r="F49" s="2" t="s">
        <v>443</v>
      </c>
      <c r="G49" s="2" t="s">
        <v>466</v>
      </c>
      <c r="H49" s="3" t="s">
        <v>467</v>
      </c>
      <c r="I49" s="4" t="s">
        <v>446</v>
      </c>
      <c r="J49" s="4" t="s">
        <v>447</v>
      </c>
      <c r="K49" s="4" t="s">
        <v>448</v>
      </c>
      <c r="L49" s="2" t="s">
        <v>468</v>
      </c>
      <c r="M49" s="2" t="s">
        <v>143</v>
      </c>
      <c r="N49" s="4" t="s">
        <v>339</v>
      </c>
      <c r="O49" s="4" t="s">
        <v>383</v>
      </c>
      <c r="P49" s="2" t="s">
        <v>461</v>
      </c>
      <c r="Q49" s="2" t="s">
        <v>144</v>
      </c>
      <c r="R49" s="2" t="s">
        <v>469</v>
      </c>
      <c r="S49" s="2" t="s">
        <v>470</v>
      </c>
      <c r="T49" s="2" t="s">
        <v>471</v>
      </c>
      <c r="U49" s="2"/>
      <c r="V49" s="4" t="s">
        <v>46</v>
      </c>
      <c r="W49" s="2"/>
      <c r="X49" s="2"/>
      <c r="Y49" s="4"/>
      <c r="Z49" s="4"/>
    </row>
    <row r="50" spans="1:26" ht="36" x14ac:dyDescent="0.25">
      <c r="A50" s="2" t="s">
        <v>439</v>
      </c>
      <c r="B50" s="2" t="s">
        <v>440</v>
      </c>
      <c r="C50" s="2" t="s">
        <v>28</v>
      </c>
      <c r="D50" s="2" t="s">
        <v>441</v>
      </c>
      <c r="E50" s="2" t="s">
        <v>442</v>
      </c>
      <c r="F50" s="2" t="s">
        <v>443</v>
      </c>
      <c r="G50" s="2" t="s">
        <v>472</v>
      </c>
      <c r="H50" s="3" t="s">
        <v>473</v>
      </c>
      <c r="I50" s="4" t="s">
        <v>446</v>
      </c>
      <c r="J50" s="4" t="s">
        <v>447</v>
      </c>
      <c r="K50" s="4" t="s">
        <v>448</v>
      </c>
      <c r="L50" s="2" t="s">
        <v>474</v>
      </c>
      <c r="M50" s="2" t="s">
        <v>475</v>
      </c>
      <c r="N50" s="4" t="s">
        <v>339</v>
      </c>
      <c r="O50" s="4" t="s">
        <v>383</v>
      </c>
      <c r="P50" s="2" t="s">
        <v>340</v>
      </c>
      <c r="Q50" s="2" t="s">
        <v>476</v>
      </c>
      <c r="R50" s="2" t="s">
        <v>477</v>
      </c>
      <c r="S50" s="2" t="s">
        <v>478</v>
      </c>
      <c r="T50" s="2" t="s">
        <v>479</v>
      </c>
      <c r="U50" s="2"/>
      <c r="V50" s="4" t="s">
        <v>46</v>
      </c>
      <c r="W50" s="2"/>
      <c r="X50" s="2"/>
      <c r="Y50" s="4"/>
      <c r="Z50" s="4"/>
    </row>
    <row r="51" spans="1:26" ht="72" x14ac:dyDescent="0.25">
      <c r="A51" s="2" t="s">
        <v>439</v>
      </c>
      <c r="B51" s="2" t="s">
        <v>440</v>
      </c>
      <c r="C51" s="2" t="s">
        <v>28</v>
      </c>
      <c r="D51" s="2" t="s">
        <v>441</v>
      </c>
      <c r="E51" s="2" t="s">
        <v>442</v>
      </c>
      <c r="F51" s="2" t="s">
        <v>443</v>
      </c>
      <c r="G51" s="2" t="s">
        <v>480</v>
      </c>
      <c r="H51" s="3" t="s">
        <v>481</v>
      </c>
      <c r="I51" s="4" t="s">
        <v>446</v>
      </c>
      <c r="J51" s="4" t="s">
        <v>447</v>
      </c>
      <c r="K51" s="4" t="s">
        <v>448</v>
      </c>
      <c r="L51" s="2" t="s">
        <v>482</v>
      </c>
      <c r="M51" s="2" t="s">
        <v>483</v>
      </c>
      <c r="N51" s="4" t="s">
        <v>339</v>
      </c>
      <c r="O51" s="4" t="s">
        <v>383</v>
      </c>
      <c r="P51" s="2" t="s">
        <v>484</v>
      </c>
      <c r="Q51" s="2" t="s">
        <v>485</v>
      </c>
      <c r="R51" s="2" t="s">
        <v>486</v>
      </c>
      <c r="S51" s="2" t="s">
        <v>487</v>
      </c>
      <c r="T51" s="2" t="s">
        <v>488</v>
      </c>
      <c r="U51" s="2"/>
      <c r="V51" s="4" t="s">
        <v>46</v>
      </c>
      <c r="W51" s="2"/>
      <c r="X51" s="2"/>
      <c r="Y51" s="4"/>
      <c r="Z51" s="4"/>
    </row>
    <row r="52" spans="1:26" ht="48" x14ac:dyDescent="0.25">
      <c r="A52" s="2" t="s">
        <v>439</v>
      </c>
      <c r="B52" s="2" t="s">
        <v>440</v>
      </c>
      <c r="C52" s="2" t="s">
        <v>28</v>
      </c>
      <c r="D52" s="2" t="s">
        <v>441</v>
      </c>
      <c r="E52" s="2" t="s">
        <v>442</v>
      </c>
      <c r="F52" s="2" t="s">
        <v>443</v>
      </c>
      <c r="G52" s="2" t="s">
        <v>489</v>
      </c>
      <c r="H52" s="3" t="s">
        <v>490</v>
      </c>
      <c r="I52" s="4" t="s">
        <v>446</v>
      </c>
      <c r="J52" s="4" t="s">
        <v>447</v>
      </c>
      <c r="K52" s="4" t="s">
        <v>448</v>
      </c>
      <c r="L52" s="2" t="s">
        <v>491</v>
      </c>
      <c r="M52" s="2" t="s">
        <v>492</v>
      </c>
      <c r="N52" s="4" t="s">
        <v>39</v>
      </c>
      <c r="O52" s="4" t="s">
        <v>383</v>
      </c>
      <c r="P52" s="2" t="s">
        <v>493</v>
      </c>
      <c r="Q52" s="2" t="s">
        <v>435</v>
      </c>
      <c r="R52" s="2" t="s">
        <v>494</v>
      </c>
      <c r="S52" s="2" t="s">
        <v>495</v>
      </c>
      <c r="T52" s="2" t="s">
        <v>496</v>
      </c>
      <c r="U52" s="2"/>
      <c r="V52" s="4" t="s">
        <v>46</v>
      </c>
      <c r="W52" s="2"/>
      <c r="X52" s="2"/>
      <c r="Y52" s="4"/>
      <c r="Z52" s="4"/>
    </row>
  </sheetData>
  <autoFilter ref="A2:Z52" xr:uid="{00000000-0009-0000-0000-000000000000}"/>
  <mergeCells count="1">
    <mergeCell ref="A1:Z1"/>
  </mergeCells>
  <conditionalFormatting sqref="V3:V200">
    <cfRule type="expression" dxfId="3" priority="2">
      <formula>EXACT($V3,"PASS")</formula>
    </cfRule>
    <cfRule type="expression" dxfId="2" priority="3">
      <formula>EXACT($V3,"FAIL")</formula>
    </cfRule>
    <cfRule type="expression" dxfId="1" priority="4">
      <formula>EXACT($V3,"BLOCKED")</formula>
    </cfRule>
    <cfRule type="expression" dxfId="0" priority="5">
      <formula>EXACT($V3,"NOT RUN")</formula>
    </cfRule>
  </conditionalFormatting>
  <dataValidations count="4">
    <dataValidation type="list" allowBlank="1" errorTitle="Valor controlado" error="Valor no permitido. Usar uno de los valores controlados." sqref="C3:C200" xr:uid="{00000000-0002-0000-0000-000000000000}">
      <formula1>"FUNCIONAL,NO FUNCIONAL"</formula1>
      <formula2>0</formula2>
    </dataValidation>
    <dataValidation type="list" allowBlank="1" errorTitle="Valor controlado" error="Valor no permitido. Usar uno de los valores controlados." sqref="N3:N200 Z3:Z200" xr:uid="{00000000-0002-0000-0000-000001000000}">
      <formula1>"CRITICAL,HIGH,MEDIUM,LOW"</formula1>
      <formula2>0</formula2>
    </dataValidation>
    <dataValidation type="list" allowBlank="1" errorTitle="Valor controlado" error="Valor no permitido. Usar uno de los valores controlados." sqref="O3:O200" xr:uid="{00000000-0002-0000-0000-000002000000}">
      <formula1>"FUNCTIONAL,NEGATIVE,VALIDATION,INTEGRATION,E2E,REGRESSION,SECURITY"</formula1>
      <formula2>0</formula2>
    </dataValidation>
    <dataValidation type="list" allowBlank="1" errorTitle="Valor controlado" error="Valor no permitido. Usar uno de los valores controlados." sqref="V3:V200" xr:uid="{00000000-0002-0000-0000-000003000000}">
      <formula1>"NOT RUN,PASS,FAIL,BLOCKED"</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
  <sheetViews>
    <sheetView zoomScaleNormal="100" workbookViewId="0"/>
  </sheetViews>
  <sheetFormatPr baseColWidth="10" defaultColWidth="8.7109375" defaultRowHeight="15" x14ac:dyDescent="0.25"/>
  <cols>
    <col min="1" max="5" width="18" customWidth="1"/>
  </cols>
  <sheetData>
    <row r="1" spans="1:5" x14ac:dyDescent="0.25">
      <c r="A1" s="5" t="s">
        <v>497</v>
      </c>
      <c r="B1" s="5" t="s">
        <v>498</v>
      </c>
      <c r="C1" s="5" t="s">
        <v>499</v>
      </c>
      <c r="D1" s="5" t="s">
        <v>500</v>
      </c>
      <c r="E1" s="5" t="s">
        <v>2</v>
      </c>
    </row>
    <row r="2" spans="1:5" x14ac:dyDescent="0.25">
      <c r="A2" s="6" t="s">
        <v>339</v>
      </c>
      <c r="B2" s="6" t="s">
        <v>40</v>
      </c>
      <c r="C2" s="6" t="s">
        <v>46</v>
      </c>
      <c r="D2" s="6" t="s">
        <v>339</v>
      </c>
      <c r="E2" s="6" t="s">
        <v>28</v>
      </c>
    </row>
    <row r="3" spans="1:5" x14ac:dyDescent="0.25">
      <c r="A3" s="6" t="s">
        <v>39</v>
      </c>
      <c r="B3" s="6" t="s">
        <v>51</v>
      </c>
      <c r="C3" s="6" t="s">
        <v>501</v>
      </c>
      <c r="D3" s="6" t="s">
        <v>39</v>
      </c>
      <c r="E3" s="6" t="s">
        <v>502</v>
      </c>
    </row>
    <row r="4" spans="1:5" x14ac:dyDescent="0.25">
      <c r="A4" s="6" t="s">
        <v>60</v>
      </c>
      <c r="B4" s="6" t="s">
        <v>93</v>
      </c>
      <c r="C4" s="6" t="s">
        <v>503</v>
      </c>
      <c r="D4" s="6" t="s">
        <v>60</v>
      </c>
    </row>
    <row r="5" spans="1:5" x14ac:dyDescent="0.25">
      <c r="A5" s="6" t="s">
        <v>504</v>
      </c>
      <c r="B5" s="6" t="s">
        <v>125</v>
      </c>
      <c r="C5" s="6" t="s">
        <v>505</v>
      </c>
      <c r="D5" s="6" t="s">
        <v>504</v>
      </c>
    </row>
    <row r="6" spans="1:5" x14ac:dyDescent="0.25">
      <c r="B6" s="6" t="s">
        <v>383</v>
      </c>
    </row>
    <row r="7" spans="1:5" x14ac:dyDescent="0.25">
      <c r="B7" s="6" t="s">
        <v>506</v>
      </c>
    </row>
    <row r="8" spans="1:5" x14ac:dyDescent="0.25">
      <c r="B8" s="6" t="s">
        <v>507</v>
      </c>
    </row>
    <row r="11" spans="1:5" ht="15" customHeight="1" x14ac:dyDescent="0.25">
      <c r="A11" s="15" t="s">
        <v>508</v>
      </c>
      <c r="B11" s="15"/>
      <c r="C11" s="15"/>
      <c r="D11" s="15"/>
      <c r="E11" s="15"/>
    </row>
    <row r="12" spans="1:5" x14ac:dyDescent="0.25">
      <c r="A12" s="15"/>
      <c r="B12" s="15"/>
      <c r="C12" s="15"/>
      <c r="D12" s="15"/>
      <c r="E12" s="15"/>
    </row>
    <row r="13" spans="1:5" x14ac:dyDescent="0.25">
      <c r="A13" s="15"/>
      <c r="B13" s="15"/>
      <c r="C13" s="15"/>
      <c r="D13" s="15"/>
      <c r="E13" s="15"/>
    </row>
    <row r="14" spans="1:5" x14ac:dyDescent="0.25">
      <c r="A14" s="15"/>
      <c r="B14" s="15"/>
      <c r="C14" s="15"/>
      <c r="D14" s="15"/>
      <c r="E14" s="15"/>
    </row>
  </sheetData>
  <mergeCells count="1">
    <mergeCell ref="A11:E1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9"/>
  <sheetViews>
    <sheetView zoomScaleNormal="100" workbookViewId="0"/>
  </sheetViews>
  <sheetFormatPr baseColWidth="10" defaultColWidth="8.7109375" defaultRowHeight="15" x14ac:dyDescent="0.25"/>
  <cols>
    <col min="1" max="1" width="38" customWidth="1"/>
    <col min="2" max="6" width="13" customWidth="1"/>
  </cols>
  <sheetData>
    <row r="1" spans="1:6" x14ac:dyDescent="0.25">
      <c r="A1" s="7" t="s">
        <v>509</v>
      </c>
      <c r="B1" s="8"/>
      <c r="C1" s="8"/>
      <c r="D1" s="8"/>
      <c r="E1" s="8"/>
      <c r="F1" s="8"/>
    </row>
    <row r="3" spans="1:6" x14ac:dyDescent="0.25">
      <c r="A3" s="5" t="s">
        <v>510</v>
      </c>
      <c r="B3" s="5" t="s">
        <v>511</v>
      </c>
      <c r="C3" s="5" t="s">
        <v>46</v>
      </c>
      <c r="D3" s="5" t="s">
        <v>501</v>
      </c>
      <c r="E3" s="5" t="s">
        <v>503</v>
      </c>
      <c r="F3" s="5" t="s">
        <v>505</v>
      </c>
    </row>
    <row r="4" spans="1:6" x14ac:dyDescent="0.25">
      <c r="A4" s="6" t="s">
        <v>512</v>
      </c>
      <c r="B4" s="9">
        <f>COUNTIF('TEST-CASE'!$H$3:$H$52,"TC-A-1.1-*")</f>
        <v>16</v>
      </c>
      <c r="C4" s="9">
        <f>COUNTIFS('TEST-CASE'!$H$3:$H$52,"TC-A-1.1-*",'TEST-CASE'!$V$3:$V$52,"NOT RUN")</f>
        <v>13</v>
      </c>
      <c r="D4" s="9">
        <f>COUNTIFS('TEST-CASE'!$H$3:$H$52,"TC-A-1.1-*",'TEST-CASE'!$V$3:$V$52,"PASS")</f>
        <v>2</v>
      </c>
      <c r="E4" s="9">
        <f>COUNTIFS('TEST-CASE'!$H$3:$H$52,"TC-A-1.1-*",'TEST-CASE'!$V$3:$V$52,"FAIL")</f>
        <v>1</v>
      </c>
      <c r="F4" s="9">
        <f>COUNTIFS('TEST-CASE'!$H$3:$H$52,"TC-A-1.1-*",'TEST-CASE'!$V$3:$V$52,"BLOCKED")</f>
        <v>0</v>
      </c>
    </row>
    <row r="5" spans="1:6" x14ac:dyDescent="0.25">
      <c r="A5" s="6" t="s">
        <v>513</v>
      </c>
      <c r="B5" s="9">
        <f>COUNTIF('TEST-CASE'!$H$3:$H$52,"TC-A-5.1-*")</f>
        <v>6</v>
      </c>
      <c r="C5" s="9">
        <f>COUNTIFS('TEST-CASE'!$H$3:$H$52,"TC-A-5.1-*",'TEST-CASE'!$V$3:$V$52,"NOT RUN")</f>
        <v>6</v>
      </c>
      <c r="D5" s="9">
        <f>COUNTIFS('TEST-CASE'!$H$3:$H$52,"TC-A-5.1-*",'TEST-CASE'!$V$3:$V$52,"PASS")</f>
        <v>0</v>
      </c>
      <c r="E5" s="9">
        <f>COUNTIFS('TEST-CASE'!$H$3:$H$52,"TC-A-5.1-*",'TEST-CASE'!$V$3:$V$52,"FAIL")</f>
        <v>0</v>
      </c>
      <c r="F5" s="9">
        <f>COUNTIFS('TEST-CASE'!$H$3:$H$52,"TC-A-5.1-*",'TEST-CASE'!$V$3:$V$52,"BLOCKED")</f>
        <v>0</v>
      </c>
    </row>
    <row r="6" spans="1:6" x14ac:dyDescent="0.25">
      <c r="A6" s="6" t="s">
        <v>514</v>
      </c>
      <c r="B6" s="9">
        <f>COUNTIF('TEST-CASE'!$H$3:$H$52,"TC-A-2.1-*")</f>
        <v>8</v>
      </c>
      <c r="C6" s="9">
        <f>COUNTIFS('TEST-CASE'!$H$3:$H$52,"TC-A-2.1-*",'TEST-CASE'!$V$3:$V$52,"NOT RUN")</f>
        <v>0</v>
      </c>
      <c r="D6" s="9">
        <f>COUNTIFS('TEST-CASE'!$H$3:$H$52,"TC-A-2.1-*",'TEST-CASE'!$V$3:$V$52,"PASS")</f>
        <v>8</v>
      </c>
      <c r="E6" s="9">
        <f>COUNTIFS('TEST-CASE'!$H$3:$H$52,"TC-A-2.1-*",'TEST-CASE'!$V$3:$V$52,"FAIL")</f>
        <v>0</v>
      </c>
      <c r="F6" s="9">
        <f>COUNTIFS('TEST-CASE'!$H$3:$H$52,"TC-A-2.1-*",'TEST-CASE'!$V$3:$V$52,"BLOCKED")</f>
        <v>0</v>
      </c>
    </row>
    <row r="7" spans="1:6" x14ac:dyDescent="0.25">
      <c r="A7" s="6" t="s">
        <v>515</v>
      </c>
      <c r="B7" s="9">
        <f>COUNTIF('TEST-CASE'!$H$3:$H$52,"TC-A-1.3-*")</f>
        <v>14</v>
      </c>
      <c r="C7" s="9">
        <f>COUNTIFS('TEST-CASE'!$H$3:$H$52,"TC-A-1.3-*",'TEST-CASE'!$V$3:$V$52,"NOT RUN")</f>
        <v>7</v>
      </c>
      <c r="D7" s="9">
        <f>COUNTIFS('TEST-CASE'!$H$3:$H$52,"TC-A-1.3-*",'TEST-CASE'!$V$3:$V$52,"PASS")</f>
        <v>2</v>
      </c>
      <c r="E7" s="9">
        <f>COUNTIFS('TEST-CASE'!$H$3:$H$52,"TC-A-1.3-*",'TEST-CASE'!$V$3:$V$52,"FAIL")</f>
        <v>1</v>
      </c>
      <c r="F7" s="9">
        <f>COUNTIFS('TEST-CASE'!$H$3:$H$52,"TC-A-1.3-*",'TEST-CASE'!$V$3:$V$52,"BLOCKED")</f>
        <v>4</v>
      </c>
    </row>
    <row r="8" spans="1:6" x14ac:dyDescent="0.25">
      <c r="A8" s="6" t="s">
        <v>516</v>
      </c>
      <c r="B8" s="9">
        <f>COUNTIF('TEST-CASE'!$H$3:$H$52,"TC-A-E2E-01")</f>
        <v>1</v>
      </c>
      <c r="C8" s="9">
        <f>COUNTIFS('TEST-CASE'!$H$3:$H$52,"TC-A-E2E-01",'TEST-CASE'!$V$3:$V$52,"NOT RUN")</f>
        <v>1</v>
      </c>
      <c r="D8" s="9">
        <f>COUNTIFS('TEST-CASE'!$H$3:$H$52,"TC-A-E2E-01",'TEST-CASE'!$V$3:$V$52,"PASS")</f>
        <v>0</v>
      </c>
      <c r="E8" s="9">
        <f>COUNTIFS('TEST-CASE'!$H$3:$H$52,"TC-A-E2E-01",'TEST-CASE'!$V$3:$V$52,"FAIL")</f>
        <v>0</v>
      </c>
      <c r="F8" s="9">
        <f>COUNTIFS('TEST-CASE'!$H$3:$H$52,"TC-A-E2E-01",'TEST-CASE'!$V$3:$V$52,"BLOCKED")</f>
        <v>0</v>
      </c>
    </row>
    <row r="9" spans="1:6" x14ac:dyDescent="0.25">
      <c r="A9" s="6" t="s">
        <v>517</v>
      </c>
      <c r="B9" s="9">
        <f>COUNTIF('TEST-CASE'!$H$3:$H$52,"TC-A-E2E-NEG-*")</f>
        <v>5</v>
      </c>
      <c r="C9" s="9">
        <f>COUNTIFS('TEST-CASE'!$H$3:$H$52,"TC-A-E2E-NEG-*",'TEST-CASE'!$V$3:$V$52,"NOT RUN")</f>
        <v>5</v>
      </c>
      <c r="D9" s="9">
        <f>COUNTIFS('TEST-CASE'!$H$3:$H$52,"TC-A-E2E-NEG-*",'TEST-CASE'!$V$3:$V$52,"PASS")</f>
        <v>0</v>
      </c>
      <c r="E9" s="9">
        <f>COUNTIFS('TEST-CASE'!$H$3:$H$52,"TC-A-E2E-NEG-*",'TEST-CASE'!$V$3:$V$52,"FAIL")</f>
        <v>0</v>
      </c>
      <c r="F9" s="9">
        <f>COUNTIFS('TEST-CASE'!$H$3:$H$52,"TC-A-E2E-NEG-*",'TEST-CASE'!$V$3:$V$52,"BLOCKED")</f>
        <v>0</v>
      </c>
    </row>
    <row r="10" spans="1:6" x14ac:dyDescent="0.25">
      <c r="A10" s="10" t="s">
        <v>518</v>
      </c>
      <c r="B10" s="11">
        <f>COUNTA('TEST-CASE'!$H$3:$H$52)</f>
        <v>50</v>
      </c>
      <c r="C10" s="11">
        <f>COUNTIF('TEST-CASE'!$V$3:$V$52,"NOT RUN")</f>
        <v>32</v>
      </c>
      <c r="D10" s="11">
        <f>COUNTIF('TEST-CASE'!$V$3:$V$52,"PASS")</f>
        <v>12</v>
      </c>
      <c r="E10" s="11">
        <f>COUNTIF('TEST-CASE'!$V$3:$V$52,"FAIL")</f>
        <v>2</v>
      </c>
      <c r="F10" s="11">
        <f>COUNTIF('TEST-CASE'!$V$3:$V$52,"BLOCKED")</f>
        <v>4</v>
      </c>
    </row>
    <row r="12" spans="1:6" x14ac:dyDescent="0.25">
      <c r="A12" s="5" t="s">
        <v>519</v>
      </c>
      <c r="B12" s="5" t="s">
        <v>511</v>
      </c>
    </row>
    <row r="13" spans="1:6" x14ac:dyDescent="0.25">
      <c r="A13" s="6" t="s">
        <v>339</v>
      </c>
      <c r="B13" s="12">
        <f>COUNTIF('TEST-CASE'!$N$3:$N$52,"CRITICAL")</f>
        <v>13</v>
      </c>
    </row>
    <row r="14" spans="1:6" x14ac:dyDescent="0.25">
      <c r="A14" s="6" t="s">
        <v>39</v>
      </c>
      <c r="B14" s="12">
        <f>COUNTIF('TEST-CASE'!$N$3:$N$52,"HIGH")</f>
        <v>31</v>
      </c>
    </row>
    <row r="15" spans="1:6" x14ac:dyDescent="0.25">
      <c r="A15" s="6" t="s">
        <v>60</v>
      </c>
      <c r="B15" s="12">
        <f>COUNTIF('TEST-CASE'!$N$3:$N$52,"MEDIUM")</f>
        <v>6</v>
      </c>
    </row>
    <row r="16" spans="1:6" x14ac:dyDescent="0.25">
      <c r="A16" s="6" t="s">
        <v>504</v>
      </c>
      <c r="B16" s="12">
        <f>COUNTIF('TEST-CASE'!$N$3:$N$52,"LOW")</f>
        <v>0</v>
      </c>
    </row>
    <row r="18" spans="1:6" x14ac:dyDescent="0.25">
      <c r="A18" s="5" t="s">
        <v>520</v>
      </c>
      <c r="B18" s="5" t="s">
        <v>511</v>
      </c>
    </row>
    <row r="19" spans="1:6" x14ac:dyDescent="0.25">
      <c r="A19" s="6" t="s">
        <v>40</v>
      </c>
      <c r="B19" s="12">
        <f>COUNTIF('TEST-CASE'!$O$3:$O$52,"FUNCTIONAL")</f>
        <v>20</v>
      </c>
    </row>
    <row r="20" spans="1:6" x14ac:dyDescent="0.25">
      <c r="A20" s="6" t="s">
        <v>51</v>
      </c>
      <c r="B20" s="12">
        <f>COUNTIF('TEST-CASE'!$O$3:$O$52,"NEGATIVE")</f>
        <v>9</v>
      </c>
    </row>
    <row r="21" spans="1:6" x14ac:dyDescent="0.25">
      <c r="A21" s="6" t="s">
        <v>93</v>
      </c>
      <c r="B21" s="12">
        <f>COUNTIF('TEST-CASE'!$O$3:$O$52,"VALIDATION")</f>
        <v>8</v>
      </c>
    </row>
    <row r="22" spans="1:6" x14ac:dyDescent="0.25">
      <c r="A22" s="6" t="s">
        <v>125</v>
      </c>
      <c r="B22" s="12">
        <f>COUNTIF('TEST-CASE'!$O$3:$O$52,"INTEGRATION")</f>
        <v>6</v>
      </c>
    </row>
    <row r="23" spans="1:6" x14ac:dyDescent="0.25">
      <c r="A23" s="6" t="s">
        <v>383</v>
      </c>
      <c r="B23" s="12">
        <f>COUNTIF('TEST-CASE'!$O$3:$O$52,"E2E")</f>
        <v>7</v>
      </c>
    </row>
    <row r="24" spans="1:6" x14ac:dyDescent="0.25">
      <c r="A24" s="6" t="s">
        <v>506</v>
      </c>
      <c r="B24" s="12">
        <f>COUNTIF('TEST-CASE'!$O$3:$O$52,"REGRESSION")</f>
        <v>0</v>
      </c>
    </row>
    <row r="25" spans="1:6" x14ac:dyDescent="0.25">
      <c r="A25" s="6" t="s">
        <v>507</v>
      </c>
      <c r="B25" s="12">
        <f>COUNTIF('TEST-CASE'!$O$3:$O$52,"SECURITY")</f>
        <v>0</v>
      </c>
    </row>
    <row r="27" spans="1:6" ht="15" customHeight="1" x14ac:dyDescent="0.25">
      <c r="A27" s="15" t="s">
        <v>521</v>
      </c>
      <c r="B27" s="15"/>
      <c r="C27" s="15"/>
      <c r="D27" s="15"/>
      <c r="E27" s="15"/>
      <c r="F27" s="15"/>
    </row>
    <row r="28" spans="1:6" x14ac:dyDescent="0.25">
      <c r="A28" s="15"/>
      <c r="B28" s="15"/>
      <c r="C28" s="15"/>
      <c r="D28" s="15"/>
      <c r="E28" s="15"/>
      <c r="F28" s="15"/>
    </row>
    <row r="29" spans="1:6" x14ac:dyDescent="0.25">
      <c r="A29" s="15"/>
      <c r="B29" s="15"/>
      <c r="C29" s="15"/>
      <c r="D29" s="15"/>
      <c r="E29" s="15"/>
      <c r="F29" s="15"/>
    </row>
  </sheetData>
  <mergeCells count="1">
    <mergeCell ref="A27:F2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TEST-CASE</vt:lpstr>
      <vt:lpstr>LISTAS</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Maria Chiribao</cp:lastModifiedBy>
  <cp:revision>0</cp:revision>
  <dcterms:created xsi:type="dcterms:W3CDTF">2026-09-15T20:25:20Z</dcterms:created>
  <dcterms:modified xsi:type="dcterms:W3CDTF">2026-10-02T04:19:18Z</dcterms:modified>
  <dc:language>en-US</dc:language>
</cp:coreProperties>
</file>