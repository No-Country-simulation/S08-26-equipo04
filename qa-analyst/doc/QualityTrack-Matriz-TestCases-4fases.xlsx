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2026\simulacion\S08-26-equipo04\qa-analyst\doc\"/>
    </mc:Choice>
  </mc:AlternateContent>
  <xr:revisionPtr revIDLastSave="0" documentId="13_ncr:1_{30783170-BAB9-4587-8169-F1E537DC6F18}" xr6:coauthVersionLast="47" xr6:coauthVersionMax="47" xr10:uidLastSave="{00000000-0000-0000-0000-000000000000}"/>
  <bookViews>
    <workbookView xWindow="-120" yWindow="-120" windowWidth="29040" windowHeight="15840" tabRatio="500" xr2:uid="{00000000-000D-0000-FFFF-FFFF00000000}"/>
  </bookViews>
  <sheets>
    <sheet name="TEST-CASE" sheetId="1" r:id="rId1"/>
    <sheet name="LISTAS" sheetId="2" r:id="rId2"/>
    <sheet name="RESUMEN" sheetId="3" r:id="rId3"/>
    <sheet name="CONTROL_PROYECTO" sheetId="4" r:id="rId4"/>
    <sheet name="NO_BASELINE" sheetId="5" r:id="rId5"/>
    <sheet name="TRAZABILIDAD" sheetId="6" r:id="rId6"/>
  </sheets>
  <definedNames>
    <definedName name="_xlnm._FilterDatabase" localSheetId="0" hidden="1">'TEST-CASE'!$A$2:$AC$159</definedName>
  </definedNames>
  <calcPr calcId="191029"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3" l="1"/>
  <c r="B48" i="3"/>
  <c r="B47" i="3"/>
  <c r="B46" i="3"/>
  <c r="B45" i="3"/>
  <c r="B44" i="3"/>
  <c r="B43" i="3"/>
  <c r="B40" i="3"/>
  <c r="B39" i="3"/>
  <c r="B38" i="3"/>
  <c r="B37" i="3"/>
  <c r="F33" i="3"/>
  <c r="E33" i="3"/>
  <c r="D33" i="3"/>
  <c r="C33" i="3"/>
  <c r="B33" i="3"/>
  <c r="F32" i="3"/>
  <c r="E32" i="3"/>
  <c r="D32" i="3"/>
  <c r="C32" i="3"/>
  <c r="B32" i="3"/>
  <c r="F31" i="3"/>
  <c r="E31" i="3"/>
  <c r="D31" i="3"/>
  <c r="C31" i="3"/>
  <c r="B31" i="3"/>
  <c r="F30" i="3"/>
  <c r="E30" i="3"/>
  <c r="D30" i="3"/>
  <c r="C30" i="3"/>
  <c r="B30" i="3"/>
  <c r="F29" i="3"/>
  <c r="E29" i="3"/>
  <c r="D29" i="3"/>
  <c r="C29" i="3"/>
  <c r="B29" i="3"/>
  <c r="F28" i="3"/>
  <c r="E28" i="3"/>
  <c r="D28" i="3"/>
  <c r="C28" i="3"/>
  <c r="B28" i="3"/>
  <c r="F27" i="3"/>
  <c r="E27" i="3"/>
  <c r="D27" i="3"/>
  <c r="C27" i="3"/>
  <c r="B27" i="3"/>
  <c r="F26" i="3"/>
  <c r="E26" i="3"/>
  <c r="D26" i="3"/>
  <c r="C26" i="3"/>
  <c r="B26" i="3"/>
  <c r="F25" i="3"/>
  <c r="E25" i="3"/>
  <c r="D25" i="3"/>
  <c r="C25" i="3"/>
  <c r="B25" i="3"/>
  <c r="F24" i="3"/>
  <c r="E24" i="3"/>
  <c r="D24" i="3"/>
  <c r="C24" i="3"/>
  <c r="B24" i="3"/>
  <c r="F23" i="3"/>
  <c r="E23" i="3"/>
  <c r="D23" i="3"/>
  <c r="C23" i="3"/>
  <c r="B23" i="3"/>
  <c r="F22" i="3"/>
  <c r="E22" i="3"/>
  <c r="D22" i="3"/>
  <c r="C22" i="3"/>
  <c r="B22" i="3"/>
  <c r="F21" i="3"/>
  <c r="E21" i="3"/>
  <c r="D21" i="3"/>
  <c r="C21" i="3"/>
  <c r="B21" i="3"/>
  <c r="F20" i="3"/>
  <c r="E20" i="3"/>
  <c r="D20" i="3"/>
  <c r="C20" i="3"/>
  <c r="B20" i="3"/>
  <c r="F19" i="3"/>
  <c r="E19" i="3"/>
  <c r="D19" i="3"/>
  <c r="C19" i="3"/>
  <c r="B19" i="3"/>
  <c r="F18" i="3"/>
  <c r="E18" i="3"/>
  <c r="D18" i="3"/>
  <c r="C18" i="3"/>
  <c r="B18" i="3"/>
  <c r="F17" i="3"/>
  <c r="E17" i="3"/>
  <c r="D17" i="3"/>
  <c r="C17" i="3"/>
  <c r="B17" i="3"/>
  <c r="F16" i="3"/>
  <c r="E16" i="3"/>
  <c r="D16" i="3"/>
  <c r="C16" i="3"/>
  <c r="B16" i="3"/>
  <c r="F15" i="3"/>
  <c r="E15" i="3"/>
  <c r="D15" i="3"/>
  <c r="C15" i="3"/>
  <c r="B15" i="3"/>
  <c r="F14" i="3"/>
  <c r="E14" i="3"/>
  <c r="D14" i="3"/>
  <c r="C14" i="3"/>
  <c r="B14" i="3"/>
  <c r="F13" i="3"/>
  <c r="E13" i="3"/>
  <c r="D13" i="3"/>
  <c r="C13" i="3"/>
  <c r="B13" i="3"/>
  <c r="F12" i="3"/>
  <c r="E12" i="3"/>
  <c r="D12" i="3"/>
  <c r="C12" i="3"/>
  <c r="B12" i="3"/>
  <c r="F11" i="3"/>
  <c r="E11" i="3"/>
  <c r="D11" i="3"/>
  <c r="C11" i="3"/>
  <c r="B11" i="3"/>
  <c r="F10" i="3"/>
  <c r="E10" i="3"/>
  <c r="D10" i="3"/>
  <c r="C10" i="3"/>
  <c r="B10" i="3"/>
  <c r="F9" i="3"/>
  <c r="E9" i="3"/>
  <c r="D9" i="3"/>
  <c r="C9" i="3"/>
  <c r="B9" i="3"/>
  <c r="F8" i="3"/>
  <c r="E8" i="3"/>
  <c r="D8" i="3"/>
  <c r="C8" i="3"/>
  <c r="B8" i="3"/>
  <c r="F7" i="3"/>
  <c r="E7" i="3"/>
  <c r="D7" i="3"/>
  <c r="C7" i="3"/>
  <c r="B7" i="3"/>
  <c r="F6" i="3"/>
  <c r="E6" i="3"/>
  <c r="D6" i="3"/>
  <c r="C6" i="3"/>
  <c r="B6" i="3"/>
  <c r="F5" i="3"/>
  <c r="E5" i="3"/>
  <c r="D5" i="3"/>
  <c r="C5" i="3"/>
  <c r="B5" i="3"/>
  <c r="F4" i="3"/>
  <c r="E4" i="3"/>
  <c r="D4" i="3"/>
  <c r="C4" i="3"/>
  <c r="B4" i="3"/>
</calcChain>
</file>

<file path=xl/sharedStrings.xml><?xml version="1.0" encoding="utf-8"?>
<sst xmlns="http://schemas.openxmlformats.org/spreadsheetml/2006/main" count="5028" uniqueCount="1087">
  <si>
    <t>QualityTrack — MVP · Matriz de Casos de Prueba QA para ejecución · Fases A-B-C-D · Versión 2.0 · Responsable QA: María Chiribao · Estado: Baseline validada / NOT RUN</t>
  </si>
  <si>
    <t>EPICS</t>
  </si>
  <si>
    <t>EPIC DESCRIPTION</t>
  </si>
  <si>
    <t>REQUERIMIENTO</t>
  </si>
  <si>
    <t>FEATURES</t>
  </si>
  <si>
    <t>FEATURE DESCRIPTION</t>
  </si>
  <si>
    <t>USER STORY</t>
  </si>
  <si>
    <t>SCENARIO</t>
  </si>
  <si>
    <t>ID TC</t>
  </si>
  <si>
    <t>ID EP</t>
  </si>
  <si>
    <t>ID F</t>
  </si>
  <si>
    <t>ID US</t>
  </si>
  <si>
    <t>Title</t>
  </si>
  <si>
    <t>Description</t>
  </si>
  <si>
    <t>Priority</t>
  </si>
  <si>
    <t>Type</t>
  </si>
  <si>
    <t>Pre-requisites</t>
  </si>
  <si>
    <t>Test Data</t>
  </si>
  <si>
    <t>Acceptance Criteria</t>
  </si>
  <si>
    <t>Steps</t>
  </si>
  <si>
    <t>Expected Result</t>
  </si>
  <si>
    <t>Result</t>
  </si>
  <si>
    <t>Status</t>
  </si>
  <si>
    <t>Evidence</t>
  </si>
  <si>
    <t>Comments</t>
  </si>
  <si>
    <t>Defect ID</t>
  </si>
  <si>
    <t>Severity</t>
  </si>
  <si>
    <t>Alineación</t>
  </si>
  <si>
    <t>Fuente / PR</t>
  </si>
  <si>
    <t>Clasificación QA</t>
  </si>
  <si>
    <t>Épica 1 — Vendedor</t>
  </si>
  <si>
    <t>Circuito comercial del Vendedor: registro de solicitudes y gestión de cotizaciones derivadas.</t>
  </si>
  <si>
    <t>FUNCIONAL</t>
  </si>
  <si>
    <t>Levantar pedido</t>
  </si>
  <si>
    <t>HU-1.1 — Levantar pedido</t>
  </si>
  <si>
    <t>Registrar una solicitud con todos los datos obligatorios válidos</t>
  </si>
  <si>
    <t>TC-A-1.1-01</t>
  </si>
  <si>
    <t>EP-01</t>
  </si>
  <si>
    <t>F-01</t>
  </si>
  <si>
    <t>HU-1.1</t>
  </si>
  <si>
    <t>La solicitud se registra correctamente con los datos obligatorios informados.</t>
  </si>
  <si>
    <t>CRITICAL</t>
  </si>
  <si>
    <t>FUNCTIONAL</t>
  </si>
  <si>
    <t>Usuario Vendedor autenticado; formulario de solicitud disponible.</t>
  </si>
  <si>
    <t>Cliente nuevo con razón social, CUIT, nombre de contacto, dirección, teléfono y email válidos; descripción de pieza/trabajo válida; cantidad = 1</t>
  </si>
  <si>
    <t>1. Ingresar los datos del cliente.
2. Ingresar descripción.
3. Informar cantidad.
4. Guardar solicitud.</t>
  </si>
  <si>
    <t>NOT RUN</t>
  </si>
  <si>
    <t>Modificado: Los datos del cliente nuevo incluyen CUIT, contacto y email, todos obligatorios. (ref. D-4)</t>
  </si>
  <si>
    <t>OFICIAL / BASELINE</t>
  </si>
  <si>
    <t>PRD V2 + Backlog V2 + DB V2 + QA</t>
  </si>
  <si>
    <t>Caso del alcance</t>
  </si>
  <si>
    <t>Registrar solicitud sin razón social</t>
  </si>
  <si>
    <t>TC-A-1.1-02</t>
  </si>
  <si>
    <t>La solicitud no debe registrarse porque la razón social es obligatoria.</t>
  </si>
  <si>
    <t>HIGH</t>
  </si>
  <si>
    <t>NEGATIVE</t>
  </si>
  <si>
    <t>Dirección y teléfono válidos; descripción válida; cantidad = 1; razón social vacía</t>
  </si>
  <si>
    <t>1. Completar los campos restantes.
2. Dejar razón social vacía.
3. Intentar guardar.</t>
  </si>
  <si>
    <t>Registrar cliente nuevo sin dirección</t>
  </si>
  <si>
    <t>TC-A-1.1-03</t>
  </si>
  <si>
    <t>La solicitud no se registra y el sistema señala que falta la dirección, que es obligatoria.</t>
  </si>
  <si>
    <t>MEDIUM</t>
  </si>
  <si>
    <t>Razón social, CUIT, contacto, teléfono y email válidos; descripción válida; cantidad = 1; dirección vacía</t>
  </si>
  <si>
    <t>1. Completar los campos restantes.
2. Dejar dirección vacía.
3. Intentar guardar.</t>
  </si>
  <si>
    <t>Modificado: Sin dirección, la solicitud no se registra. (ref. D-4)</t>
  </si>
  <si>
    <t>Registrar cliente nuevo sin teléfono</t>
  </si>
  <si>
    <t>TC-A-1.1-04</t>
  </si>
  <si>
    <t>La solicitud no se registra y el sistema señala que falta el teléfono, que es obligatorio.</t>
  </si>
  <si>
    <t>Razón social, CUIT, contacto, dirección y email válidos; descripción válida; cantidad = 1; teléfono vacío</t>
  </si>
  <si>
    <t>1. Completar los campos restantes.
2. Dejar teléfono vacío.
3. Intentar guardar.</t>
  </si>
  <si>
    <t>Modificado: Sin teléfono, la solicitud no se registra. (ref. D-4)</t>
  </si>
  <si>
    <t>Registrar solicitud sin descripción de pieza/trabajo</t>
  </si>
  <si>
    <t>TC-A-1.1-05</t>
  </si>
  <si>
    <t>La solicitud no debe registrarse porque la descripción de pieza/trabajo es obligatoria.</t>
  </si>
  <si>
    <t>Datos del cliente válidos; descripción vacía; cantidad = 1</t>
  </si>
  <si>
    <t>1. Completar los datos del cliente.
2. Dejar descripción vacía.
3. Informar cantidad.
4. Intentar guardar.</t>
  </si>
  <si>
    <t>Registrar solicitud sin cantidad</t>
  </si>
  <si>
    <t>TC-A-1.1-06</t>
  </si>
  <si>
    <t>La solicitud no debe registrarse porque la cantidad es obligatoria.</t>
  </si>
  <si>
    <t>Datos del cliente válidos; descripción válida; cantidad no informada</t>
  </si>
  <si>
    <t>1. Completar los datos obligatorios del cliente.
2. Informar descripción.
3. No informar cantidad.
4. Intentar guardar.</t>
  </si>
  <si>
    <t>Registrar solicitud con cantidad igual a 0</t>
  </si>
  <si>
    <t>TC-A-1.1-07</t>
  </si>
  <si>
    <t>La solicitud no debe registrarse porque la cantidad debe ser mayor que 0.</t>
  </si>
  <si>
    <t>Datos del cliente válidos; descripción válida; cantidad = 0</t>
  </si>
  <si>
    <t>1. Completar los datos obligatorios.
2. Informar cantidad = 0.
3. Intentar guardar.</t>
  </si>
  <si>
    <t>Registrar solicitud con cantidad negativa</t>
  </si>
  <si>
    <t>TC-A-1.1-08</t>
  </si>
  <si>
    <t>Datos del cliente válidos; descripción válida; cantidad &lt; 0</t>
  </si>
  <si>
    <t>1. Completar los datos obligatorios.
2. Informar una cantidad negativa.
3. Intentar guardar.</t>
  </si>
  <si>
    <t>Registrar solicitud con cantidad válida mayor que 0</t>
  </si>
  <si>
    <t>TC-A-1.1-09</t>
  </si>
  <si>
    <t>La solicitud se registra correctamente con la cantidad informada.</t>
  </si>
  <si>
    <t>Datos del cliente válidos; descripción válida; cantidad &gt; 0</t>
  </si>
  <si>
    <t>1. Completar los datos obligatorios.
2. Informar una cantidad mayor que 0.
3. Guardar.</t>
  </si>
  <si>
    <t>Verificar estado inicial de la solicitud</t>
  </si>
  <si>
    <t>TC-A-1.1-10</t>
  </si>
  <si>
    <t>La solicitud queda registrada con estado PENDIENTE_COTIZACION.</t>
  </si>
  <si>
    <t>Solicitud creada con todos los datos obligatorios válidos</t>
  </si>
  <si>
    <t>1. Registrar la solicitud.
2. Consultar su estado.</t>
  </si>
  <si>
    <t>Verificar persistencia de los datos registrados</t>
  </si>
  <si>
    <t>TC-A-1.1-11</t>
  </si>
  <si>
    <t>Los datos registrados permanecen disponibles y consistentes después de la creación.</t>
  </si>
  <si>
    <t>INTEGRATION</t>
  </si>
  <si>
    <t>Solicitud válida con datos completos</t>
  </si>
  <si>
    <t>1. Registrar solicitud.
2. Consultar posteriormente la solicitud.
3. Comparar los datos registrados.</t>
  </si>
  <si>
    <t>Registrar solicitud con cliente ya registrado</t>
  </si>
  <si>
    <t>TC-A-1.1-12</t>
  </si>
  <si>
    <t>La solicitud se registra correctamente asociada al cliente existente mediante su cliente_id.</t>
  </si>
  <si>
    <t>cliente_id válido correspondiente a un cliente existente; descripción válida; cantidad = 1</t>
  </si>
  <si>
    <t>1. Seleccionar un cliente ya registrado.
2. Verificar que se utilice su cliente_id.
3. Completar la solicitud.
4. Guardar.</t>
  </si>
  <si>
    <t>Registrar solicitud con cliente_id inexistente</t>
  </si>
  <si>
    <t>TC-A-1.1-13</t>
  </si>
  <si>
    <t>La solicitud no debe registrarse y el sistema debe rechazar la referencia a un cliente inexistente.</t>
  </si>
  <si>
    <t>cliente_id inexistente; descripción válida; cantidad = 1</t>
  </si>
  <si>
    <t>1. Informar un cliente_id inexistente.
2. Completar los datos restantes.
3. Intentar guardar.</t>
  </si>
  <si>
    <t>Adjuntar documentación válida a la solicitud</t>
  </si>
  <si>
    <t>TC-A-1.1-14</t>
  </si>
  <si>
    <t>La documentación se adjunta correctamente, sigue disponible al recargar y se puede abrir desde el navegador sin descargarla.</t>
  </si>
  <si>
    <t>Archivo de hasta 10 MB, por ejemplo un plano</t>
  </si>
  <si>
    <t>1. Completar la solicitud.
2. Adjuntar el plano.
3. Guardar.
4. Recargar la solicitud.
5. Abrir el documento.</t>
  </si>
  <si>
    <t>Intentar adjuntar un archivo de más de 10 MB</t>
  </si>
  <si>
    <t>TC-A-1.1-15</t>
  </si>
  <si>
    <t>El sistema rechaza el archivo por superar el tamaño máximo y no lo incorpora a la solicitud.</t>
  </si>
  <si>
    <t>Archivo de más de 10 MB</t>
  </si>
  <si>
    <t>1. Completar la solicitud.
2. Intentar adjuntar el archivo.</t>
  </si>
  <si>
    <t>Modificado: El criterio pasa a ser archivo de más de 10 MB. (ref. D-6)</t>
  </si>
  <si>
    <t>Registrar solicitud sin archivo de documentación</t>
  </si>
  <si>
    <t>TC-A-1.1-16</t>
  </si>
  <si>
    <t>La solicitud se registra sin archivo cuando la documentación no es obligatoria en el diseño actual.</t>
  </si>
  <si>
    <t>Solicitud válida; sin archivo adjunto</t>
  </si>
  <si>
    <t>1. Completar la solicitud.
2. No adjuntar ningún archivo.
3. Guardar.</t>
  </si>
  <si>
    <t>Registrar cliente nuevo con un CUIT que ya existe</t>
  </si>
  <si>
    <t>TC-A-1.1-17</t>
  </si>
  <si>
    <t>El sistema no registra el cliente e informa que el CUIT ya está registrado.</t>
  </si>
  <si>
    <t>CUIT de un cliente ya registrado; resto de los datos válidos</t>
  </si>
  <si>
    <t>1. Cargar un cliente nuevo con ese CUIT.
2. Completar la solicitud.
3. Intentar guardar.</t>
  </si>
  <si>
    <t>Nuevo: Cliente nuevo con un CUIT que ya existe. (ref. D-4)</t>
  </si>
  <si>
    <t>Registrar cliente nuevo sin email</t>
  </si>
  <si>
    <t>TC-A-1.1-18</t>
  </si>
  <si>
    <t>La solicitud no se registra y el sistema señala que falta el email, que es obligatorio.</t>
  </si>
  <si>
    <t>Razón social, CUIT, contacto, dirección y teléfono válidos; email vacío</t>
  </si>
  <si>
    <t>1. Completar los campos restantes.
2. Dejar email vacío.
3. Intentar guardar.</t>
  </si>
  <si>
    <t>Nuevo: Cliente nuevo sin email. (ref. D-4)</t>
  </si>
  <si>
    <t>Cotizaciones derivadas</t>
  </si>
  <si>
    <t>HU-1.3 — Cotizaciones derivadas</t>
  </si>
  <si>
    <t>Vendedor consulta una cotización derivada de una solicitud</t>
  </si>
  <si>
    <t>TC-A-1.3-01</t>
  </si>
  <si>
    <t>F-03</t>
  </si>
  <si>
    <t>HU-1.3</t>
  </si>
  <si>
    <t>El Vendedor puede consultar la cotización derivada de la solicitud.</t>
  </si>
  <si>
    <t>Usuario Vendedor autenticado; cotización disponible.</t>
  </si>
  <si>
    <t>Solicitud con cotización disponible</t>
  </si>
  <si>
    <t>1. Ingresar como Vendedor.
2. Consultar cotizaciones disponibles.
3. Seleccionar una cotización.</t>
  </si>
  <si>
    <t>Vendedor visualiza correctamente los datos de la cotización</t>
  </si>
  <si>
    <t>TC-A-1.3-02</t>
  </si>
  <si>
    <t>La información de la cotización se muestra de forma consistente con los datos registrados.</t>
  </si>
  <si>
    <t>Cotización con datos completos</t>
  </si>
  <si>
    <t>1. Abrir la cotización.
2. Revisar cliente, solicitud, fases, tiempos y precio final.</t>
  </si>
  <si>
    <t>Vendedor registra aprobación de una cotización válida</t>
  </si>
  <si>
    <t>TC-A-1.3-03</t>
  </si>
  <si>
    <t>La aprobación queda registrada correctamente.</t>
  </si>
  <si>
    <t>Cotización válida disponible para decisión</t>
  </si>
  <si>
    <t>1. Abrir la cotización.
2. Seleccionar aprobación.
3. Confirmar la acción.</t>
  </si>
  <si>
    <t>Verificar cambio a estado APROBADA</t>
  </si>
  <si>
    <t>TC-A-1.3-04</t>
  </si>
  <si>
    <t>La cotización queda en estado APROBADA.</t>
  </si>
  <si>
    <t>Cotización aprobada</t>
  </si>
  <si>
    <t>1. Registrar aprobación.
2. Consultar el estado de la cotización.</t>
  </si>
  <si>
    <t>Verificar generación automática de OT después de la aprobación</t>
  </si>
  <si>
    <t>TC-A-1.3-05</t>
  </si>
  <si>
    <t>Se genera automáticamente una OT asociada a la cotización aprobada.</t>
  </si>
  <si>
    <t>E2E</t>
  </si>
  <si>
    <t>Cotización en estado APROBADA</t>
  </si>
  <si>
    <t>1. Aprobar la cotización.
2. Consultar las órdenes de trabajo generadas.</t>
  </si>
  <si>
    <t>Verificar que la OT quede asociada a la cotización aprobada</t>
  </si>
  <si>
    <t>TC-A-1.3-06</t>
  </si>
  <si>
    <t>La OT queda correctamente asociada a la cotización aprobada.</t>
  </si>
  <si>
    <t>Cotización aprobada; OT generada</t>
  </si>
  <si>
    <t>1. Aprobar la cotización.
2. Consultar la OT.
3. Verificar su relación con la cotización.</t>
  </si>
  <si>
    <t>Verificar que la primera fase de la OT quede en EN_COLA</t>
  </si>
  <si>
    <t>TC-A-1.3-07</t>
  </si>
  <si>
    <t>La primera fase queda en estado EN_COLA.</t>
  </si>
  <si>
    <t>OT generada con fases configuradas</t>
  </si>
  <si>
    <t>1. Aprobar la cotización.
2. Consultar las fases de la OT.</t>
  </si>
  <si>
    <t>Verificar que la primera fase quede asociada al operario correcto</t>
  </si>
  <si>
    <t>TC-A-1.3-08</t>
  </si>
  <si>
    <t>La primera fase queda visible/asociada al operario habilitado correspondiente.</t>
  </si>
  <si>
    <t>OT generada; fase con operario habilitado</t>
  </si>
  <si>
    <t>1. Aprobar la cotización.
2. Consultar la primera fase.
3. Verificar el operario asociado.</t>
  </si>
  <si>
    <t>Vendedor registra cotización no aprobada</t>
  </si>
  <si>
    <t>TC-A-1.3-09</t>
  </si>
  <si>
    <t>La decisión de no aprobación queda registrada.</t>
  </si>
  <si>
    <t>Cotización disponible para decisión</t>
  </si>
  <si>
    <t>1. Abrir la cotización.
2. Seleccionar no aprobación.
3. Confirmar la acción.</t>
  </si>
  <si>
    <t>Verificar estado NO_APROBADA</t>
  </si>
  <si>
    <t>TC-A-1.3-10</t>
  </si>
  <si>
    <t>La cotización queda en estado NO_APROBADA.</t>
  </si>
  <si>
    <t>Cotización no aprobada</t>
  </si>
  <si>
    <t>1. Registrar la no aprobación.
2. Consultar el estado.</t>
  </si>
  <si>
    <t>Verificar que una cotización no aprobada no genere OT</t>
  </si>
  <si>
    <t>TC-A-1.3-11</t>
  </si>
  <si>
    <t>No debe generarse una OT a partir de una cotización no aprobada.</t>
  </si>
  <si>
    <t>Cotización en estado NO_APROBADA</t>
  </si>
  <si>
    <t>1. Registrar la no aprobación.
2. Consultar las OT asociadas.</t>
  </si>
  <si>
    <t>Intentar procesar nuevamente una cotización ya aprobada</t>
  </si>
  <si>
    <t>TC-A-1.3-12</t>
  </si>
  <si>
    <t>El sistema no debe permitir una segunda transición no válida ni generar una OT duplicada.</t>
  </si>
  <si>
    <t>Cotización en estado APROBADA; OT ya generada</t>
  </si>
  <si>
    <t>1. Consultar una cotización ya aprobada.
2. Intentar procesarla nuevamente.</t>
  </si>
  <si>
    <t>Vendedor marca la cotización como enviada al cliente</t>
  </si>
  <si>
    <t>TC-A-1.3-13</t>
  </si>
  <si>
    <t>La cotización queda en estado ENVIADA_A_CLIENTE.</t>
  </si>
  <si>
    <t>Cotización generada y disponible para el Vendedor</t>
  </si>
  <si>
    <t>1. Abrir la cotización.
2. Marcarla como enviada al cliente.
3. Confirmar la acción.</t>
  </si>
  <si>
    <t>Registrar una decisión antes de ENVIADA_A_CLIENTE</t>
  </si>
  <si>
    <t>TC-A-1.3-14</t>
  </si>
  <si>
    <t>La UI y el flujo no permiten registrar una decisión antes de que la cotización pase a ENVIADA_A_CLIENTE.</t>
  </si>
  <si>
    <t>Cotización generada que todavía no fue marcada como enviada al cliente</t>
  </si>
  <si>
    <t>1. Abrir una cotización que no está en ENVIADA_A_CLIENTE.
2. Intentar registrar aprobación o no aprobación.</t>
  </si>
  <si>
    <t>F-04</t>
  </si>
  <si>
    <t>VALIDATION</t>
  </si>
  <si>
    <t>Épica 2 — Jefe de Producción</t>
  </si>
  <si>
    <t>Gestión de cotizaciones, órdenes de trabajo y planta.</t>
  </si>
  <si>
    <t>Recepción de cotización</t>
  </si>
  <si>
    <t>HU-2.1 — Recepción de cotización</t>
  </si>
  <si>
    <t>Jefe consulta una solicitud disponible para cotizar</t>
  </si>
  <si>
    <t>TC-A-2.1-01</t>
  </si>
  <si>
    <t>EP-02</t>
  </si>
  <si>
    <t>F-02</t>
  </si>
  <si>
    <t>HU-2.1</t>
  </si>
  <si>
    <t>La solicitud disponible para cotizar puede ser consultada por el Jefe.</t>
  </si>
  <si>
    <t>Usuario Jefe de Producción autenticado; solicitud válida disponible.</t>
  </si>
  <si>
    <t>Solicitud en estado PENDIENTE_COTIZACION</t>
  </si>
  <si>
    <t>1. Ingresar como Jefe.
2. Consultar solicitudes disponibles.
3. Seleccionar la solicitud.</t>
  </si>
  <si>
    <t>Jefe selecciona fases del catálogo</t>
  </si>
  <si>
    <t>TC-A-2.1-02</t>
  </si>
  <si>
    <t>Solo se ofrecen fases con operarios habilitados, y las seleccionadas quedan incorporadas a la cotización.</t>
  </si>
  <si>
    <t>Solicitud disponible; catálogo con fases que tienen operarios habilitados</t>
  </si>
  <si>
    <t>1. Abrir la solicitud.
2. Consultar catálogo.
3. Seleccionar las fases necesarias.</t>
  </si>
  <si>
    <t>Jefe define el orden de las fases</t>
  </si>
  <si>
    <t>TC-A-2.1-03</t>
  </si>
  <si>
    <t>Las fases quedan registradas en el orden definido por el Jefe.</t>
  </si>
  <si>
    <t>Solicitud con varias fases seleccionadas</t>
  </si>
  <si>
    <t>1. Seleccionar varias fases.
2. Definir el orden de ejecución.
3. Guardar la cotización.</t>
  </si>
  <si>
    <t>Jefe utiliza una fase repetida cuando corresponde</t>
  </si>
  <si>
    <t>TC-A-2.1-04</t>
  </si>
  <si>
    <t>La cotización permite que una misma fase aparezca más de una vez cuando corresponde.</t>
  </si>
  <si>
    <t>Catálogo con una fase disponible para repetición</t>
  </si>
  <si>
    <t>1. Seleccionar una fase.
2. Incorporar nuevamente la misma fase cuando corresponda.
3. Definir el orden.</t>
  </si>
  <si>
    <t>Jefe informa el tiempo estimado de las fases</t>
  </si>
  <si>
    <t>TC-A-2.1-05</t>
  </si>
  <si>
    <t>Cada fase queda asociada al tiempo estimado informado.</t>
  </si>
  <si>
    <t>Fases seleccionadas; tiempos estimados definidos</t>
  </si>
  <si>
    <t>1. Seleccionar las fases.
2. Informar el tiempo estimado de cada fase.
3. Guardar.</t>
  </si>
  <si>
    <t>Verificar que la cotización mantenga un único precio final</t>
  </si>
  <si>
    <t>TC-A-2.1-06</t>
  </si>
  <si>
    <t>La cotización mantiene un único precio final y no un precio individual por fase.</t>
  </si>
  <si>
    <t>Cotización con una o varias fases</t>
  </si>
  <si>
    <t>1. Configurar las fases.
2. Informar el precio final.
3. Guardar la cotización.</t>
  </si>
  <si>
    <t>Generar y enviar la cotización asociada a la solicitud</t>
  </si>
  <si>
    <t>TC-A-2.1-07</t>
  </si>
  <si>
    <t>La cotización queda asociada a la solicitud y disponible para el Vendedor.</t>
  </si>
  <si>
    <t>Solicitud válida; cotización configurada</t>
  </si>
  <si>
    <t>1. Completar la cotización.
2. Guardar/generar la cotización.
3. Enviar la cotización al circuito correspondiente.</t>
  </si>
  <si>
    <t>Verificar que la solicitud pasa a COTIZADA al crear su cotización</t>
  </si>
  <si>
    <t>TC-A-2.1-08</t>
  </si>
  <si>
    <t>La solicitud queda en COTIZADA. No figura en el listado del Jefe; sí figura, como "Cotizada", en el del Vendedor. La cotización queda en LISTA_PARA_ENVIAR.</t>
  </si>
  <si>
    <t>Solicitud en estado PENDIENTE_COTIZACION, sin cotización</t>
  </si>
  <si>
    <t>1. Ingresar como Jefe.
2. Crear la cotización de esa solicitud.
3. Consultar GET /api/solicitudes como Jefe.
4. Consultar GET /api/solicitudes como Vendedor.
5. Consultar la cotización creada.</t>
  </si>
  <si>
    <t>Modificado: Se verifica la transición de la solicitud a `COTIZADA` y su visibilidad según rol. (ref. #156)</t>
  </si>
  <si>
    <t>Épica 5 — Gerente</t>
  </si>
  <si>
    <t>Configuración y gestión del catálogo de fases y visión global.</t>
  </si>
  <si>
    <t>Configuración de fases</t>
  </si>
  <si>
    <t>HU-5.1 — Configuración de fases</t>
  </si>
  <si>
    <t>Gerente consulta el catálogo de fases</t>
  </si>
  <si>
    <t>TC-A-5.1-01</t>
  </si>
  <si>
    <t>EP-05</t>
  </si>
  <si>
    <t>F-05</t>
  </si>
  <si>
    <t>HU-5.1</t>
  </si>
  <si>
    <t>El Gerente puede consultar el catálogo de fases disponible.</t>
  </si>
  <si>
    <t>Usuario Gerente autenticado; catálogo y operadores disponibles.</t>
  </si>
  <si>
    <t>Usuario con rol Gerente; catálogo disponible</t>
  </si>
  <si>
    <t>1. Ingresar como Gerente.
2. Acceder al catálogo de fases.</t>
  </si>
  <si>
    <t>Crear una fase con al menos un operario habilitado</t>
  </si>
  <si>
    <t>TC-A-5.1-02</t>
  </si>
  <si>
    <t>La fase queda registrada con sus operarios. Sin al menos un operario habilitado, el sistema no permite crear la fase.</t>
  </si>
  <si>
    <t>Usuario Gerente; operarios disponibles</t>
  </si>
  <si>
    <t>1. Acceder al catálogo.
2. Crear una fase.
3. Elegir al menos un operario habilitado.
4. Guardar.
5. Repetir sin elegir ningún operario.</t>
  </si>
  <si>
    <t>Modificado: Una fase requiere al menos un operario habilitado; se incluye variante negativa. (ref. D-5)</t>
  </si>
  <si>
    <t>Configurar los operarios habilitados para una fase</t>
  </si>
  <si>
    <t>TC-A-5.1-03</t>
  </si>
  <si>
    <t>La fase queda asociada a los operarios habilitados definidos. No se puede deshabilitar al último operario de una fase.</t>
  </si>
  <si>
    <t>Fase configurada; operarios disponibles</t>
  </si>
  <si>
    <t>1. Seleccionar una fase.
2. Consultar los operarios disponibles.
3. Configurar los operarios habilitados.
4. Guardar.
5. Intentar deshabilitar al último operario habilitado.</t>
  </si>
  <si>
    <t>Modificado: No se puede deshabilitar al último operario de una fase. (ref. D-5)</t>
  </si>
  <si>
    <t>Verificar que un operario habilitado pueda ser seleccionado para la fase</t>
  </si>
  <si>
    <t>TC-A-5.1-04</t>
  </si>
  <si>
    <t>El operario habilitado aparece como elegible para ejecutar la fase.</t>
  </si>
  <si>
    <t>Fase configurada; operario habilitado</t>
  </si>
  <si>
    <t>1. Seleccionar la fase.
2. Consultar operarios habilitados.
3. Seleccionar el operario habilitado.</t>
  </si>
  <si>
    <t>Verificar que un operario no habilitado no pueda ejecutar esa fase</t>
  </si>
  <si>
    <t>TC-A-5.1-05</t>
  </si>
  <si>
    <t>Un operario no habilitado no debe quedar disponible como ejecutor válido de esa fase.</t>
  </si>
  <si>
    <t>Fase configurada; operario no habilitado</t>
  </si>
  <si>
    <t>1. Consultar la configuración de la fase.
2. Identificar un operario no habilitado.
3. Verificar su disponibilidad para la ejecución de la fase.</t>
  </si>
  <si>
    <t>Jefe consulta el catálogo de fases disponible para gestionar una cotización</t>
  </si>
  <si>
    <t>TC-A-5.1-06</t>
  </si>
  <si>
    <t>El Jefe ve solo las fases activas que tienen al menos un operario habilitado; las demás no aparecen.</t>
  </si>
  <si>
    <t>Usuario Jefe de Producción; catálogo con fases activas con operarios, y alguna fase inactiva o sin operarios</t>
  </si>
  <si>
    <t>1. Ingresar como Jefe.
2. Acceder a la consulta del catálogo.</t>
  </si>
  <si>
    <t>Modificado: El Jefe ve solo fases activas con operarios habilitados. (ref. D-5)</t>
  </si>
  <si>
    <t>E2E transversal</t>
  </si>
  <si>
    <t>Flujo end-to-end de Fase A.</t>
  </si>
  <si>
    <t>E2E Fase A</t>
  </si>
  <si>
    <t>Cobertura end-to-end Fase A</t>
  </si>
  <si>
    <t>Solicitud → OT generada</t>
  </si>
  <si>
    <t>E2E-A-01</t>
  </si>
  <si>
    <t>F-E2E-A</t>
  </si>
  <si>
    <t>E2E-A</t>
  </si>
  <si>
    <t>La solicitud completa debe recorrer el circuito comercial y finalizar con:
Solicitud → Cotización → ENVIADA_A_CLIENTE → APROBADA → OT generada → Primera fase en cola del operario correcto.
La OT debe generarse automáticamente como consecuencia de la aprobación válida de la cotización.
---</t>
  </si>
  <si>
    <t>E2E / Integración</t>
  </si>
  <si>
    <t>* Backend real disponible.
* Usuario Vendedor disponible.
* Usuario Jefe de Producción disponible.
* Usuario Gerente disponible.
* Catálogo de fases configurado.
* Al menos un operario habilitado en cada fase correspondiente.
* Operario habilitado para la primera fase.
* Datos de prueba disponibles.</t>
  </si>
  <si>
    <t>* Razón Social válida.
* CUIT válido y no registrado previamente.
* Nombre de contacto válido.
* Dirección válida.
* Teléfono válido.
* Email válido.
* Descripción de pieza/trabajo válida.
* Cantidad mayor que 0.
* Fases existentes en el catálogo.
* Operario habilitado para ejecutar la primera fase.
* Tiempo estimado definido para las fases.
* Precio final de cotización definido.</t>
  </si>
  <si>
    <t>1. Vendedor registra una solicitud completa.
2. QA verifica la persistencia de la solicitud.
3. Jefe de Producción consulta la solicitud.
4. Jefe selecciona las fases correspondientes.
5. Jefe define el orden de las fases.
6. Jefe informa los tiempos estimados.
7. Jefe genera la cotización.
8. Vendedor marca la cotización como enviada al cliente.
9. Vendedor consulta la cotización derivada.
10. Vendedor registra la aprobación.
11. QA verifica que la cotización pase a APROBADA.
12. QA verifica que se genere automáticamente la OT.
13. QA verifica que la OT quede asociada a la cotización.
14. QA verifica las fases configuradas en la OT.
15. QA verifica que la primera fase quede en EN_COLA.
16. QA verifica que la primera fase quede visible para el operario correcto.</t>
  </si>
  <si>
    <t>Solicitud incompleta intenta ingresar al circuito</t>
  </si>
  <si>
    <t>E2E-A-NEG-01</t>
  </si>
  <si>
    <t>La solicitud incompleta no debe continuar hacia una cotización válida.</t>
  </si>
  <si>
    <t>Usuarios y datos de prueba disponibles.</t>
  </si>
  <si>
    <t>Solicitud con al menos un dato obligatorio faltante</t>
  </si>
  <si>
    <t>1. Intentar registrar la solicitud.
2. Intentar continuar el circuito.</t>
  </si>
  <si>
    <t>E2E-A-NEG-02</t>
  </si>
  <si>
    <t>No debe generarse una OT.</t>
  </si>
  <si>
    <t>Cotización válida en estado NO_APROBADA</t>
  </si>
  <si>
    <t>1. Registrar la no aprobación.
2. Consultar las OT.</t>
  </si>
  <si>
    <t>Intentar aprobar una cotización ya procesada</t>
  </si>
  <si>
    <t>E2E-A-NEG-03</t>
  </si>
  <si>
    <t>El sistema debe impedir una segunda transición no válida.</t>
  </si>
  <si>
    <t>Cotización ya aprobada y OT generada</t>
  </si>
  <si>
    <t>1. Consultar la cotización.
2. Intentar aprobarla nuevamente.</t>
  </si>
  <si>
    <t>Verificar posible duplicación de OT después de una aprobación</t>
  </si>
  <si>
    <t>E2E-A-NEG-05</t>
  </si>
  <si>
    <t>Una aprobación válida debe generar una única OT.</t>
  </si>
  <si>
    <t>Cotización válida aprobada</t>
  </si>
  <si>
    <t>1. Registrar una aprobación válida.
2. Consultar las OT generadas.
3. Verificar que no exista una segunda OT para la misma aprobación.</t>
  </si>
  <si>
    <t>Gestión de planta / reasignación</t>
  </si>
  <si>
    <t>HU-2.2 — Gestión de planta / reasignación</t>
  </si>
  <si>
    <t>Consultar operadores habilitados</t>
  </si>
  <si>
    <t>TC-B-2.2-01</t>
  </si>
  <si>
    <t>F-09</t>
  </si>
  <si>
    <t>HU-2.2</t>
  </si>
  <si>
    <t>Se muestran los operadores habilitados para esa fase.</t>
  </si>
  <si>
    <t>Existe una fase configurada con operadores habilitados.</t>
  </si>
  <si>
    <t>Fase y operadores habilitados/no habilitados según escenario.</t>
  </si>
  <si>
    <t>1. Ingresar como Jefe.
2. Consultar la fase.
3. Abrir las opciones de asignación.</t>
  </si>
  <si>
    <t>Reasignar fase antes de iniciar ejecución</t>
  </si>
  <si>
    <t>TC-B-2.2-02</t>
  </si>
  <si>
    <t>La fase queda asignada al nuevo operador.</t>
  </si>
  <si>
    <t>La fase se encuentra en EN_COLA y tiene un operador asignado.</t>
  </si>
  <si>
    <t>1. Ingresar como Jefe.
2. Seleccionar la fase.
3. Seleccionar otro operador habilitado.
4. Confirmar la reasignación.</t>
  </si>
  <si>
    <t>Intentar reasignar fase ya iniciada</t>
  </si>
  <si>
    <t>TC-B-2.2-03</t>
  </si>
  <si>
    <t>El sistema impide la reasignación porque la fase ya fue iniciada.</t>
  </si>
  <si>
    <t>La fase se encuentra en EN_EJECUCION.</t>
  </si>
  <si>
    <t>1. Ingresar como Jefe.
2. Consultar la fase.
3. Intentar cambiar el operador.</t>
  </si>
  <si>
    <t>Intentar reasignar a operador no habilitado</t>
  </si>
  <si>
    <t>TC-B-2.2-04</t>
  </si>
  <si>
    <t>El sistema impide la asignación.</t>
  </si>
  <si>
    <t>Existe una fase en EN_COLA y un operador que no está habilitado para esa fase.</t>
  </si>
  <si>
    <t>1. Ingresar como Jefe.
2. Seleccionar la fase.
3. Intentar asignarla al operador no habilitado.</t>
  </si>
  <si>
    <t>Verificar actualización de visibilidad</t>
  </si>
  <si>
    <t>TC-B-2.2-05</t>
  </si>
  <si>
    <t>La fase deja de estar disponible para el operador anterior y aparece disponible para el nuevo operador.</t>
  </si>
  <si>
    <t>Una fase fue reasignada antes de iniciar su ejecución.</t>
  </si>
  <si>
    <t>Datos de prueba válidos y variantes del escenario.</t>
  </si>
  <si>
    <t>1. Reasignar la fase al operador B.
2. Consultar las tareas del operador A.
3. Consultar las tareas del operador B.</t>
  </si>
  <si>
    <t>Verificar historial de reasignación</t>
  </si>
  <si>
    <t>TC-B-2.2-06</t>
  </si>
  <si>
    <t>El historial registra:
* operador anterior;
* nuevo operador;
* usuario que realizó el cambio;
* fecha/hora del cambio.</t>
  </si>
  <si>
    <t>Se realizó una reasignación válida.</t>
  </si>
  <si>
    <t>OT con fase EN_COLA; operador original y nuevo operador.</t>
  </si>
  <si>
    <t>1. Realizar la reasignación.
2. Consultar el historial correspondiente.</t>
  </si>
  <si>
    <t>Épica 3 — Operario</t>
  </si>
  <si>
    <t>Ejecución de fases productivas y tareas asignadas.</t>
  </si>
  <si>
    <t>Tareas en ejecución y pendientes</t>
  </si>
  <si>
    <t>HU-3.1 — Tareas en ejecución y pendientes</t>
  </si>
  <si>
    <t>Visualizar una OT asignada en cola</t>
  </si>
  <si>
    <t>TC-B-3.1-01</t>
  </si>
  <si>
    <t>EP-03</t>
  </si>
  <si>
    <t>HU-3.1</t>
  </si>
  <si>
    <t>La fase aparece disponible en estado EN_COLA.</t>
  </si>
  <si>
    <t>Existe una OT con una primera fase asignada a un operador habilitado.</t>
  </si>
  <si>
    <t>1. Ingresar como Operario.
2. Acceder a las tareas pendientes.
3. Buscar la OT asignada.
4. Visualizar la fase correspondiente.</t>
  </si>
  <si>
    <t>Iniciar una fase en cola</t>
  </si>
  <si>
    <t>TC-B-3.1-02</t>
  </si>
  <si>
    <t>La fase pasa de EN_COLA a EN_EJECUCION.</t>
  </si>
  <si>
    <t>Existe una fase en EN_COLA asignada al Operario.</t>
  </si>
  <si>
    <t>1. Ingresar como Operario.
2. Seleccionar la tarea.
3. Iniciar la ejecución.</t>
  </si>
  <si>
    <t>Visualizar tarea en ejecución</t>
  </si>
  <si>
    <t>TC-B-3.1-03</t>
  </si>
  <si>
    <t>La tarea activa se muestra correctamente como fase en ejecución.</t>
  </si>
  <si>
    <t>Existe una fase en EN_EJECUCION.</t>
  </si>
  <si>
    <t>1. Ingresar como Operario.
2. Consultar las tareas.
3. Identificar la tarea iniciada.</t>
  </si>
  <si>
    <t>Finalizar una fase</t>
  </si>
  <si>
    <t>TC-B-3.1-04</t>
  </si>
  <si>
    <t>La fase pasa a TERMINADO.</t>
  </si>
  <si>
    <t>1. Ingresar a la tarea.
2. Completar la operación.
3. Marcar la fase como finalizada.</t>
  </si>
  <si>
    <t>Avanzar automáticamente a la siguiente fase</t>
  </si>
  <si>
    <t>TC-B-3.1-05</t>
  </si>
  <si>
    <t>La primera fase queda TERMINADO y la siguiente fase pasa a EN_COLA.</t>
  </si>
  <si>
    <t>La OT posee al menos dos fases y la primera se encuentra en ejecución.</t>
  </si>
  <si>
    <t>Finalizar la última fase</t>
  </si>
  <si>
    <t>TC-B-3.1-06</t>
  </si>
  <si>
    <t>La última fase queda TERMINADO y la OT pasa a EN_CALIDAD.</t>
  </si>
  <si>
    <t>La OT posee varias fases y se está ejecutando la última.</t>
  </si>
  <si>
    <t>Consultar tareas pendientes</t>
  </si>
  <si>
    <t>TC-B-3.1-07</t>
  </si>
  <si>
    <t>El Operario visualiza correctamente las tareas que tiene pendientes.</t>
  </si>
  <si>
    <t>Existe al menos una fase en EN_COLA.</t>
  </si>
  <si>
    <t>1. Ingresar como Operario.
2. Acceder a las tareas pendientes.</t>
  </si>
  <si>
    <t>Verificar orden de ejecución de fases</t>
  </si>
  <si>
    <t>TC-B-3.1-08</t>
  </si>
  <si>
    <t>Las fases se habilitan respetando el orden establecido para la OT.</t>
  </si>
  <si>
    <t>La OT posee un orden de fases definido.</t>
  </si>
  <si>
    <t>1. Iniciar la primera fase.
2. Finalizarla.
3. Consultar la siguiente fase.
4. Repetir el proceso.</t>
  </si>
  <si>
    <t>Ejecutar una OT con una fase repetida</t>
  </si>
  <si>
    <t>TC-B-3.1-09</t>
  </si>
  <si>
    <t>Cada instancia de la fase se mantiene diferenciada dentro del flujo de producción y respeta el orden definido.</t>
  </si>
  <si>
    <t>La cotización/OT contiene una misma fase más de una vez.</t>
  </si>
  <si>
    <t>1. Ejecutar la primera instancia de la fase.
2. Finalizarla.
3. Avanzar según el orden definido.
4. Ejecutar la segunda instancia.</t>
  </si>
  <si>
    <t>Verificar fase terminada</t>
  </si>
  <si>
    <t>TC-B-3.1-10</t>
  </si>
  <si>
    <t>La fase permanece en TERMINADO y no vuelve automáticamente a EN_COLA.</t>
  </si>
  <si>
    <t>Una fase fue finalizada correctamente.</t>
  </si>
  <si>
    <t>1. Finalizar una fase.
2. Consultar nuevamente la OT.
3. Revisar el estado de la fase.</t>
  </si>
  <si>
    <t>Adjuntos</t>
  </si>
  <si>
    <t>HU-3.2 — Adjuntos</t>
  </si>
  <si>
    <t>TC-B-3.2-01</t>
  </si>
  <si>
    <t>F-06</t>
  </si>
  <si>
    <t>HU-3.2</t>
  </si>
  <si>
    <t>El archivo queda asociado correctamente a la OT/fase.</t>
  </si>
  <si>
    <t>Archivo válido o archivo mayor a 10 MB según escenario.</t>
  </si>
  <si>
    <t>1. Ingresar al contexto de la OT.
2. Seleccionar la opción de adjuntar archivo.
3. Seleccionar un archivo válido dentro del límite permitido.
4. Confirmar.</t>
  </si>
  <si>
    <t>Persistencia del adjunto</t>
  </si>
  <si>
    <t>TC-B-3.2-02</t>
  </si>
  <si>
    <t>El archivo continúa disponible después de recargar la aplicación.</t>
  </si>
  <si>
    <t>Existe un archivo previamente adjuntado.</t>
  </si>
  <si>
    <t>1. Adjuntar el archivo.
2. Recargar la aplicación.
3. Volver a consultar la OT.</t>
  </si>
  <si>
    <t>Visualizar adjunto en navegador</t>
  </si>
  <si>
    <t>TC-B-3.2-03</t>
  </si>
  <si>
    <t>El archivo puede visualizarse en el navegador sin requerir una descarga para su consulta.</t>
  </si>
  <si>
    <t>Existe un archivo adjunto válido.</t>
  </si>
  <si>
    <t>1. Consultar la OT.
2. Abrir el adjunto.</t>
  </si>
  <si>
    <t>Intentar adjuntar archivo mayor a 10 MB</t>
  </si>
  <si>
    <t>TC-B-3.2-04</t>
  </si>
  <si>
    <t>El sistema rechaza el archivo por superar el límite permitido.</t>
  </si>
  <si>
    <t>Existe una OT disponible.</t>
  </si>
  <si>
    <t>1. Seleccionar un archivo superior a 10 MB.
2. Intentar adjuntarlo.</t>
  </si>
  <si>
    <t>Verificar asociación del adjunto</t>
  </si>
  <si>
    <t>TC-B-3.2-05</t>
  </si>
  <si>
    <t>El archivo aparece asociado a la OT/fase correspondiente y no a otra orden.</t>
  </si>
  <si>
    <t>Existe una OT con un archivo adjunto.</t>
  </si>
  <si>
    <t>1. Consultar la OT.
2. Identificar el adjunto.
3. Verificar el contexto al que pertenece.</t>
  </si>
  <si>
    <t>Vencimiento</t>
  </si>
  <si>
    <t>HU-3.3 — Vencimiento</t>
  </si>
  <si>
    <t>Registrar tiempo estimado de una fase</t>
  </si>
  <si>
    <t>TC-B-3.3-01</t>
  </si>
  <si>
    <t>F-07</t>
  </si>
  <si>
    <t>HU-3.3</t>
  </si>
  <si>
    <t>La fase conserva el tiempo estimado correspondiente.</t>
  </si>
  <si>
    <t>Existe una fase configurada en una OT.</t>
  </si>
  <si>
    <t>1. Consultar la información de la fase.
2. Identificar el tiempo estimado.</t>
  </si>
  <si>
    <t>Verificar cálculo de vencimiento</t>
  </si>
  <si>
    <t>TC-B-3.3-02</t>
  </si>
  <si>
    <t>El vencimiento corresponde al ingreso a cola más el tiempo estimado de la fase.</t>
  </si>
  <si>
    <t>Existe una fase con tiempo estimado conocido.</t>
  </si>
  <si>
    <t>1. Registrar/identificar el momento de ingreso de la fase a EN_COLA.
2. Identificar el tiempo estimado.
3. Consultar el vencimiento calculado.</t>
  </si>
  <si>
    <t>Fase dentro del plazo</t>
  </si>
  <si>
    <t>TC-B-3.3-03</t>
  </si>
  <si>
    <t>La fase se identifica correctamente como dentro del plazo.</t>
  </si>
  <si>
    <t>Existe una fase cuyo vencimiento todavía no fue superado.</t>
  </si>
  <si>
    <t>1. Consultar la fase.
2. Comparar el estado temporal con el vencimiento.</t>
  </si>
  <si>
    <t>Fase con plazo superado</t>
  </si>
  <si>
    <t>TC-B-3.3-04</t>
  </si>
  <si>
    <t>El sistema identifica correctamente que el plazo fue superado.</t>
  </si>
  <si>
    <t>Existe una fase cuyo vencimiento fue superado.</t>
  </si>
  <si>
    <t>1. Consultar la fase.
2. Verificar la información temporal.</t>
  </si>
  <si>
    <t>Finalizar fase antes del vencimiento</t>
  </si>
  <si>
    <t>TC-B-3.3-05</t>
  </si>
  <si>
    <t>La fase queda TERMINADO correctamente, independientemente de que el vencimiento todavía no haya sido alcanzado.</t>
  </si>
  <si>
    <t>Existe una fase en ejecución cuyo vencimiento aún no fue alcanzado.</t>
  </si>
  <si>
    <t>1. Ejecutar la fase.
2. Finalizarla antes del vencimiento.
3. Consultar el estado.</t>
  </si>
  <si>
    <t>Notas discriminadas por origen</t>
  </si>
  <si>
    <t>HU-3.4 — Notas discriminadas por origen</t>
  </si>
  <si>
    <t>Consultar nota originada por Jefe</t>
  </si>
  <si>
    <t>TC-B-3.4-01</t>
  </si>
  <si>
    <t>F-08</t>
  </si>
  <si>
    <t>HU-3.4</t>
  </si>
  <si>
    <t>La nota aparece disponible y se identifica como originada por Jefe.</t>
  </si>
  <si>
    <t>Existe una nota registrada por Jefe.</t>
  </si>
  <si>
    <t>OT con notas de Jefe y/o Calidad.</t>
  </si>
  <si>
    <t>1. Consultar la OT.
2. Acceder a las notas.</t>
  </si>
  <si>
    <t>Consultar nota originada por Calidad</t>
  </si>
  <si>
    <t>TC-B-3.4-02</t>
  </si>
  <si>
    <t>La nota aparece disponible y se identifica como originada por Calidad.</t>
  </si>
  <si>
    <t>Existe una nota registrada por Calidad.</t>
  </si>
  <si>
    <t>Intentar crear nota como Operario</t>
  </si>
  <si>
    <t>TC-B-3.4-03</t>
  </si>
  <si>
    <t>El Operario no puede crear notas correspondientes a los orígenes definidos para Jefe y Calidad.</t>
  </si>
  <si>
    <t>Usuario autenticado con rol Operario.</t>
  </si>
  <si>
    <t>1. Acceder a la OT.
2. Buscar la funcionalidad de creación de notas.
3. Intentar registrar una nota.</t>
  </si>
  <si>
    <t>Consultar notas de una OT</t>
  </si>
  <si>
    <t>TC-B-3.4-04</t>
  </si>
  <si>
    <t>Las notas disponibles correspondientes a la OT se muestran correctamente.</t>
  </si>
  <si>
    <t>Existe una OT con notas registradas.</t>
  </si>
  <si>
    <t>1. Abrir la OT.
2. Consultar las notas.</t>
  </si>
  <si>
    <t>Verificar origen de cada nota</t>
  </si>
  <si>
    <t>TC-B-3.4-05</t>
  </si>
  <si>
    <t>Cada nota conserva correctamente su origen.</t>
  </si>
  <si>
    <t>Existe una OT con notas de distintos orígenes.</t>
  </si>
  <si>
    <t>1. Abrir la OT.
2. Consultar las notas.
3. Revisar el origen de cada una.</t>
  </si>
  <si>
    <t>Flujo end-to-end de Fase B.</t>
  </si>
  <si>
    <t>E2E Fase B</t>
  </si>
  <si>
    <t>Cobertura end-to-end Fase B</t>
  </si>
  <si>
    <t>Camino feliz de Producción</t>
  </si>
  <si>
    <t>E2E-B-01</t>
  </si>
  <si>
    <t>F-E2E-B</t>
  </si>
  <si>
    <t>E2E-B</t>
  </si>
  <si>
    <t>1. Acceso correcto
2. Aparece la primera fase de la OT
3. Estado EN_COLA
4. Estado EN_EJECUCION
5. La tarea permanece disponible para completar
6. Estado TERMINADO
7. Siguiente fase disponible en EN_COLA
8. Estado EN_EJECUCION
9. Cada fase pasa a TERMINADO
10. Última fase queda TERMINADO
11. OT pasa a EN_CALIDAD
12. OT disponible para el circuito de Calidad</t>
  </si>
  <si>
    <t>1. Ingresar con usuario Operario
2. Consultar tareas pendientes
3. Identificar fase en cola
4. Iniciar fase
5. Ejecutar operación
6. Finalizar fase
7. Consultar siguiente fase
8. Iniciar siguiente fase
9. Completar las fases restantes
10. Finalizar última fase
11. Consultar estado de OT
12. Consultar desde Calidad</t>
  </si>
  <si>
    <t>Intentar iniciar una fase sin un operador habilitado/asignado correctamente.</t>
  </si>
  <si>
    <t>E2E-B-NEG-01</t>
  </si>
  <si>
    <t>La fase no puede comenzar su ejecución.</t>
  </si>
  <si>
    <t>1. Ingresar como usuario autorizado.
2. Acceder a la funcionalidad.
3. Preparar los datos del escenario.
4. Ejecutar la acción indicada.
5. Verificar el resultado esperado.</t>
  </si>
  <si>
    <t>Intentar modificar el operador de una fase que ya está en EN_EJECUCION.</t>
  </si>
  <si>
    <t>E2E-B-NEG-02</t>
  </si>
  <si>
    <t>La reasignación es rechazada conforme a D-1.</t>
  </si>
  <si>
    <t>Intentar asignar una fase a un operador que no está habilitado para esa fase.</t>
  </si>
  <si>
    <t>E2E-B-NEG-03</t>
  </si>
  <si>
    <t>El sistema rechaza la asignación.</t>
  </si>
  <si>
    <t>Intentar cargar un archivo superior a 10 MB durante producción.</t>
  </si>
  <si>
    <t>E2E-B-NEG-04</t>
  </si>
  <si>
    <t>El sistema rechaza el archivo y mantiene la información previamente registrada.</t>
  </si>
  <si>
    <t>Despacho / Entrega</t>
  </si>
  <si>
    <t>HU-1.4 — Despacho / Entrega</t>
  </si>
  <si>
    <t>OT conforme disponible para despacho</t>
  </si>
  <si>
    <t>TC-C-1.4-01</t>
  </si>
  <si>
    <t>F-14</t>
  </si>
  <si>
    <t>HU-1.4</t>
  </si>
  <si>
    <t>La OT está habilitada para pasar a DESPACHO.</t>
  </si>
  <si>
    <t>OT con veredicto Conforme.</t>
  </si>
  <si>
    <t>1. Consultar la OT.
2. Ingresar al circuito de despacho.</t>
  </si>
  <si>
    <t>Intentar despachar OT no conforme</t>
  </si>
  <si>
    <t>TC-C-1.4-02</t>
  </si>
  <si>
    <t>El sistema impide el despacho de una OT no conforme.</t>
  </si>
  <si>
    <t>OT en NO_CONFORME.</t>
  </si>
  <si>
    <t>1. Consultar la OT.
2. Intentar realizar el despacho.</t>
  </si>
  <si>
    <t>Registrar despacho</t>
  </si>
  <si>
    <t>TC-C-1.4-03</t>
  </si>
  <si>
    <t>La OT pasa a DESPACHO.</t>
  </si>
  <si>
    <t>OT habilitada para despacho.</t>
  </si>
  <si>
    <t>1. Seleccionar la OT.
2. Registrar el despacho.
3. Confirmar.</t>
  </si>
  <si>
    <t>Registrar entrega desde `DESPACHO`</t>
  </si>
  <si>
    <t>TC-C-1.4-04</t>
  </si>
  <si>
    <t>La OT pasa a ENTREGADA.</t>
  </si>
  <si>
    <t>OT en DESPACHO.</t>
  </si>
  <si>
    <t>OT en DESPACHO o estado distinto; receptor/fecha cuando corresponda.</t>
  </si>
  <si>
    <t>1. Abrir la OT.
2. Registrar los datos de entrega.
3. Confirmar.</t>
  </si>
  <si>
    <t>Intentar registrar entrega sin receptor</t>
  </si>
  <si>
    <t>TC-C-1.4-05</t>
  </si>
  <si>
    <t>El sistema impide completar la entrega porque el receptor es obligatorio.</t>
  </si>
  <si>
    <t>1. Iniciar el registro de entrega.
2. No ingresar receptor.
3. Intentar confirmar.</t>
  </si>
  <si>
    <t>Registrar entrega con receptor y fecha</t>
  </si>
  <si>
    <t>TC-C-1.4-06</t>
  </si>
  <si>
    <t>La entrega queda registrada con receptor y fecha y la OT pasa a ENTREGADA.</t>
  </si>
  <si>
    <t>1. Ingresar receptor.
2. Registrar fecha.
3. Confirmar la entrega.</t>
  </si>
  <si>
    <t>Intentar entregar OT fuera de `DESPACHO`</t>
  </si>
  <si>
    <t>TC-C-1.4-07</t>
  </si>
  <si>
    <t>El sistema impide completar la entrega.</t>
  </si>
  <si>
    <t>OT en un estado distinto de DESPACHO.</t>
  </si>
  <si>
    <t>1. Intentar registrar la entrega.</t>
  </si>
  <si>
    <t>No conformidades / retrabajo</t>
  </si>
  <si>
    <t>HU-2.3 — No conformidades / retrabajo</t>
  </si>
  <si>
    <t>Consultar OT no conforme</t>
  </si>
  <si>
    <t>TC-C-2.3-01</t>
  </si>
  <si>
    <t>F-13</t>
  </si>
  <si>
    <t>HU-2.3</t>
  </si>
  <si>
    <t>La OT no conforme aparece disponible junto con las observaciones de Calidad.</t>
  </si>
  <si>
    <t>Una OT fue marcada como NO_CONFORME.</t>
  </si>
  <si>
    <t>1. Ingresar como Jefe.
2. Consultar las OT pendientes.</t>
  </si>
  <si>
    <t>Seleccionar fase para retrabajo</t>
  </si>
  <si>
    <t>TC-C-2.3-02</t>
  </si>
  <si>
    <t>El Jefe puede seleccionar la fase correspondiente al retrabajo.</t>
  </si>
  <si>
    <t>Existe una OT no conforme.</t>
  </si>
  <si>
    <t>1. Abrir la OT.
2. Consultar las fases.
3. Seleccionar la fase que requiere retrabajo.</t>
  </si>
  <si>
    <t>Seleccionar operador habilitado</t>
  </si>
  <si>
    <t>TC-C-2.3-03</t>
  </si>
  <si>
    <t>El operador puede ser asignado correctamente.</t>
  </si>
  <si>
    <t>Existe una fase seleccionada para retrabajo y al menos un operador habilitado.</t>
  </si>
  <si>
    <t>1. Seleccionar la fase.
2. Consultar operadores disponibles.
3. Seleccionar un operador habilitado.</t>
  </si>
  <si>
    <t>Intentar seleccionar operador no habilitado</t>
  </si>
  <si>
    <t>TC-C-2.3-04</t>
  </si>
  <si>
    <t>Existe una fase de retrabajo y un operador que no está habilitado para ella.</t>
  </si>
  <si>
    <t>1. Seleccionar la fase.
2. Intentar asignar el operador no habilitado.</t>
  </si>
  <si>
    <t>Registrar tiempo de retrabajo</t>
  </si>
  <si>
    <t>TC-C-2.3-05</t>
  </si>
  <si>
    <t>El tiempo de retrabajo queda registrado correctamente.</t>
  </si>
  <si>
    <t>Fase y operador seleccionados.</t>
  </si>
  <si>
    <t>1. Ingresar el tiempo estimado.
2. Confirmar la configuración del retrabajo.</t>
  </si>
  <si>
    <t>Verificar valores sugeridos de retrabajo</t>
  </si>
  <si>
    <t>TC-C-2.3-06</t>
  </si>
  <si>
    <t>Cuando corresponda, se muestran como sugerencia los valores anteriores, sin impedir que el Jefe seleccione otros valores válidos.</t>
  </si>
  <si>
    <t>Existe información anterior de fase, operador y/o tiempo.</t>
  </si>
  <si>
    <t>1. Abrir el circuito de retrabajo.
2. Consultar los valores sugeridos.</t>
  </si>
  <si>
    <t>Enviar retrabajo a producción</t>
  </si>
  <si>
    <t>TC-C-2.3-07</t>
  </si>
  <si>
    <t>La fase seleccionada vuelve al circuito de producción correspondiente.</t>
  </si>
  <si>
    <t>Fase, operador y tiempo correctamente seleccionados.</t>
  </si>
  <si>
    <t>1. Confirmar el retrabajo.
2. Consultar el estado de la OT.</t>
  </si>
  <si>
    <t>Verificar retorno a Calidad después del retrabajo</t>
  </si>
  <si>
    <t>TC-C-2.3-08</t>
  </si>
  <si>
    <t>La OT vuelve al circuito de Calidad para una nueva revisión.</t>
  </si>
  <si>
    <t>La fase de retrabajo fue ejecutada y finalizada.</t>
  </si>
  <si>
    <t>1. Ejecutar la fase de retrabajo.
2. Finalizarla.
3. Consultar la OT.</t>
  </si>
  <si>
    <t>Épica 4 — Calidad</t>
  </si>
  <si>
    <t>Control de calidad, auditoría, veredicto y cierre.</t>
  </si>
  <si>
    <t>Órdenes terminadas</t>
  </si>
  <si>
    <t>HU-4.1 — Órdenes terminadas</t>
  </si>
  <si>
    <t>Visualizar OT terminada en cola de Calidad</t>
  </si>
  <si>
    <t>TC-C-4.1-01</t>
  </si>
  <si>
    <t>EP-04</t>
  </si>
  <si>
    <t>F-10</t>
  </si>
  <si>
    <t>HU-4.1</t>
  </si>
  <si>
    <t>La OT aparece disponible para revisión en Calidad.</t>
  </si>
  <si>
    <t>Una OT finalizó correctamente todas sus fases de producción.</t>
  </si>
  <si>
    <t>1. Ingresar como usuario Calidad.
2. Acceder a la cola de Calidad.
3. Buscar la OT.</t>
  </si>
  <si>
    <t>Verificar estado `EN_CALIDAD`</t>
  </si>
  <si>
    <t>TC-C-4.1-02</t>
  </si>
  <si>
    <t>La OT se encuentra en EN_CALIDAD.</t>
  </si>
  <si>
    <t>La última fase de la OT fue finalizada.</t>
  </si>
  <si>
    <t>1. Consultar la OT.
2. Verificar su estado.</t>
  </si>
  <si>
    <t>Verificar orden de la cola de Calidad</t>
  </si>
  <si>
    <t>TC-C-4.1-03</t>
  </si>
  <si>
    <t>Las OT aparecen ordenadas según la finalización de la última fase de producción.</t>
  </si>
  <si>
    <t>Existen dos o más OT finalizadas en momentos diferentes.</t>
  </si>
  <si>
    <t>1. Finalizar/identificar las OT.
2. Ingresar a la cola de Calidad.
3. Comparar el orden mostrado.</t>
  </si>
  <si>
    <t>OT con producción pendiente</t>
  </si>
  <si>
    <t>TC-C-4.1-04</t>
  </si>
  <si>
    <t>La OT no se presenta como lista para auditoría mientras tenga producción pendiente.</t>
  </si>
  <si>
    <t>Existe una OT con alguna fase de producción pendiente.</t>
  </si>
  <si>
    <t>1. Ingresar como Calidad.
2. Consultar la cola.
3. Buscar la OT.</t>
  </si>
  <si>
    <t>Abrir expediente desde la cola de Calidad</t>
  </si>
  <si>
    <t>TC-C-4.1-05</t>
  </si>
  <si>
    <t>Se visualiza el expediente correspondiente a la OT.</t>
  </si>
  <si>
    <t>Existe una OT disponible para Calidad.</t>
  </si>
  <si>
    <t>1. Ingresar a la cola.
2. Seleccionar la OT.
3. Abrir el expediente.</t>
  </si>
  <si>
    <t>Auditoría / checklist</t>
  </si>
  <si>
    <t>HU-4.2 — Auditoría / checklist</t>
  </si>
  <si>
    <t>Visualizar los 7 puntos del checklist</t>
  </si>
  <si>
    <t>TC-C-4.2-01</t>
  </si>
  <si>
    <t>F-11</t>
  </si>
  <si>
    <t>HU-4.2</t>
  </si>
  <si>
    <t>Se visualizan los 7 puntos de control definidos.</t>
  </si>
  <si>
    <t>Existe una OT en EN_CALIDAD.</t>
  </si>
  <si>
    <t>OT en EN_CALIDAD; respuestas de checklist según escenario.</t>
  </si>
  <si>
    <t>1. Ingresar como Calidad.
2. Abrir la OT.
3. Acceder al checklist.</t>
  </si>
  <si>
    <t>Responder todos los puntos como `Cumple`</t>
  </si>
  <si>
    <t>TC-C-4.2-02</t>
  </si>
  <si>
    <t>Las 7 respuestas quedan correctamente preparadas para su registro.</t>
  </si>
  <si>
    <t>Checklist disponible.</t>
  </si>
  <si>
    <t>1. Seleccionar Cumple en los 7 puntos.
2. Completar el proceso de auditoría.</t>
  </si>
  <si>
    <t>Responder un punto como `No cumple`</t>
  </si>
  <si>
    <t>TC-C-4.2-03</t>
  </si>
  <si>
    <t>El sistema permite seleccionar No cumple y exige la observación correspondiente.</t>
  </si>
  <si>
    <t>1. Seleccionar No cumple en uno de los puntos.
2. Continuar con el checklist.</t>
  </si>
  <si>
    <t>Responder un punto como `No aplica`</t>
  </si>
  <si>
    <t>TC-C-4.2-04</t>
  </si>
  <si>
    <t>El sistema permite utilizar No aplica como respuesta válida.</t>
  </si>
  <si>
    <t>1. Seleccionar No aplica en un punto.
2. Completar las demás respuestas.</t>
  </si>
  <si>
    <t>`No cumple` sin observación</t>
  </si>
  <si>
    <t>TC-C-4.2-05</t>
  </si>
  <si>
    <t>El sistema impide completar el checklist porque la observación es obligatoria.</t>
  </si>
  <si>
    <t>1. Seleccionar No cumple.
2. No ingresar observación.
3. Intentar completar el proceso.</t>
  </si>
  <si>
    <t>`No cumple` con observación</t>
  </si>
  <si>
    <t>TC-C-4.2-06</t>
  </si>
  <si>
    <t>El sistema permite continuar con la observación registrada.</t>
  </si>
  <si>
    <t>1. Seleccionar No cumple.
2. Ingresar una observación.
3. Continuar.</t>
  </si>
  <si>
    <t>Completar checklist y veredicto en una única operación</t>
  </si>
  <si>
    <t>TC-C-4.2-07</t>
  </si>
  <si>
    <t>Las respuestas y el veredicto se registran conjuntamente.</t>
  </si>
  <si>
    <t>Las 7 respuestas están completas.</t>
  </si>
  <si>
    <t>1. Completar las respuestas.
2. Seleccionar el veredicto.
3. Confirmar la auditoría.</t>
  </si>
  <si>
    <t>Verificar ausencia de persistencia parcial</t>
  </si>
  <si>
    <t>TC-C-4.2-08</t>
  </si>
  <si>
    <t>No quedan respuestas parciales persistidas como una auditoría finalizada.</t>
  </si>
  <si>
    <t>1. Completar solamente parte de las respuestas.
2. Interrumpir el proceso sin confirmar.
3. Volver a consultar el checklist.</t>
  </si>
  <si>
    <t>Consultar checklist finalizado</t>
  </si>
  <si>
    <t>TC-C-4.2-09</t>
  </si>
  <si>
    <t>Las respuestas registradas permanecen disponibles para consulta.</t>
  </si>
  <si>
    <t>Existe una auditoría previamente completada.</t>
  </si>
  <si>
    <t>1. Abrir la OT.
2. Consultar el checklist.</t>
  </si>
  <si>
    <t>Veredicto</t>
  </si>
  <si>
    <t>HU-4.3 — Veredicto</t>
  </si>
  <si>
    <t>Emitir veredicto `Conforme`</t>
  </si>
  <si>
    <t>TC-C-4.3-01</t>
  </si>
  <si>
    <t>F-12</t>
  </si>
  <si>
    <t>HU-4.3</t>
  </si>
  <si>
    <t>La OT queda habilitada para el circuito de DESPACHO.</t>
  </si>
  <si>
    <t>Checklist completo.</t>
  </si>
  <si>
    <t>1. Completar los 7 puntos.
2. Seleccionar Conforme.
3. Confirmar.</t>
  </si>
  <si>
    <t>Emitir veredicto `No conforme`</t>
  </si>
  <si>
    <t>TC-C-4.3-02</t>
  </si>
  <si>
    <t>La OT pasa a NO_CONFORME.</t>
  </si>
  <si>
    <t>Checklist completo con al menos una condición no conforme.</t>
  </si>
  <si>
    <t>1. Completar checklist.
2. Registrar las observaciones necesarias.
3. Seleccionar No conforme.
4. Confirmar.</t>
  </si>
  <si>
    <t>Persistencia de observaciones de no conformidad</t>
  </si>
  <si>
    <t>TC-C-4.3-03</t>
  </si>
  <si>
    <t>Las observaciones quedan asociadas a la OT y disponibles para el circuito posterior.</t>
  </si>
  <si>
    <t>Existe una auditoría con resultado No conforme.</t>
  </si>
  <si>
    <t>1. Registrar una observación.
2. Confirmar la auditoría.
3. Volver a consultar la OT.</t>
  </si>
  <si>
    <t>Derivación de OT no conforme al Jefe</t>
  </si>
  <si>
    <t>TC-C-4.3-04</t>
  </si>
  <si>
    <t>El Jefe puede visualizar la OT y las observaciones de Calidad.</t>
  </si>
  <si>
    <t>1. Emitir el veredicto no conforme.
2. Ingresar como Jefe.
3. Consultar las OT pendientes de tratamiento.</t>
  </si>
  <si>
    <t>Calidad no selecciona directamente la fase de retrabajo</t>
  </si>
  <si>
    <t>TC-C-4.3-05</t>
  </si>
  <si>
    <t>Calidad registra el resultado y las observaciones, pero la selección de la fase de retrabajo corresponde al Jefe.</t>
  </si>
  <si>
    <t>Se está registrando un resultado No conforme.</t>
  </si>
  <si>
    <t>1. Ingresar como Calidad.
2. Completar checklist.
3. Emitir No conforme.
4. Revisar las opciones disponibles.</t>
  </si>
  <si>
    <t>Flujo end-to-end de Fase C.</t>
  </si>
  <si>
    <t>E2E Fase C</t>
  </si>
  <si>
    <t>Cobertura end-to-end Fase C</t>
  </si>
  <si>
    <t>Camino feliz Calidad → Despacho → Entrega</t>
  </si>
  <si>
    <t>E2E-C-01</t>
  </si>
  <si>
    <t>F-E2E-C</t>
  </si>
  <si>
    <t>E2E-C</t>
  </si>
  <si>
    <t>1. Acceso correcto
2. OT disponible
3. Expediente correspondiente visible
4. 7 puntos visibles
5. Respuestas completas
6. Veredicto preparado
7. OT habilitada para despacho
8. OT pasa a DESPACHO
9. Receptor persistido
10. Fecha persistida
11. OT pasa a ENTREGADA</t>
  </si>
  <si>
    <t>* OT en EN_CALIDAD.
* Producción finalizada.
* Usuario Calidad disponible.
* Usuario habilitado para despacho/entrega.
| Paso | Acción                           | Resultado esperado                 | Estado    |
| ---: | -------------------------------- | ---------------------------------- | --------- |
|    1 | Ingresar como Calidad            | Acceso correcto                    | NOT RUN |
|    2 | Consultar cola de Calidad        | OT disponible                      | NOT RUN |
|    3 | Abrir expediente                 | Expediente correspondiente visible | NOT RUN |
|    4 | Abrir checklist                  | 7 puntos visibles                  | NOT RUN |
|    5 | Completar los 7 puntos           | Respuestas completas               | NOT RUN |
|    6 | Seleccionar veredicto Conforme | Veredicto preparado                | NOT RUN |
|    7 | Confirmar auditoría              | OT habilitada para despacho        | NOT RUN |
|    8 | Registrar despacho               | OT pasa a DESPACHO               | NOT RUN |
|    9 | Registrar receptor               | Receptor persistido                | NOT RUN |
|   10 | Registrar fecha                  | Fecha persistida                   | NOT RUN |
|   11 | Confirmar entrega                | OT pasa a ENTREGADA              | NOT RUN |
---</t>
  </si>
  <si>
    <t>1. Ingresar como Calidad
2. Consultar cola de Calidad
3. Abrir expediente
4. Abrir checklist
5. Completar los 7 puntos
6. Seleccionar veredicto Conforme
7. Confirmar auditoría
8. Registrar despacho
9. Registrar receptor
10. Registrar fecha
11. Confirmar entrega</t>
  </si>
  <si>
    <t>No conformidad y retrabajo</t>
  </si>
  <si>
    <t>E2E-C-NEG-01</t>
  </si>
  <si>
    <t>1. Expediente disponible
2. 7 puntos visibles
3. Sistema solicita observación
4. Observación aceptada
5. Todas las respuestas completas
6. Veredicto preparado
7. OT pasa a NO_CONFORME
8. OT no conforme disponible
9. Observaciones de Calidad visibles
10. Fase seleccionada
11. Operador asignado
12. Tiempo registrado
13. OT vuelve a producción
14. Fase pasa por el circuito productivo
15. Fase queda TERMINADO
16. OT vuelve a EN_CALIDAD</t>
  </si>
  <si>
    <t>* OT en EN_CALIDAD.
* Usuario Calidad disponible.
* Usuario Jefe disponible.
* Operador habilitado para el retrabajo.
| Paso | Acción                                    | Resultado esperado                   | Estado    |
| ---: | ----------------------------------------- | ------------------------------------ | --------- |
|    1 | Abrir OT en Calidad                       | Expediente disponible                | NOT RUN |
|    2 | Abrir checklist                           | 7 puntos visibles                    | NOT RUN |
|    3 | Marcar al menos un punto como No cumple | Sistema solicita observación         | NOT RUN |
|    4 | Registrar observación                     | Observación aceptada                 | NOT RUN |
|    5 | Completar checklist                       | Todas las respuestas completas       | NOT RUN |
|    6 | Seleccionar No conforme                 | Veredicto preparado                  | NOT RUN |
|    7 | Confirmar auditoría                       | OT pasa a NO_CONFORME              | NOT RUN |
|    8 | Ingresar como Jefe                        | OT no conforme disponible            | NOT RUN |
|    9 | Consultar observaciones                   | Observaciones de Calidad visibles    | NOT RUN |
|   10 | Seleccionar fase de retrabajo             | Fase seleccionada                    | NOT RUN |
|   11 | Seleccionar operador habilitado           | Operador asignado                    | NOT RUN |
|   12 | Registrar tiempo                          | Tiempo registrado                    | NOT RUN |
|   13 | Confirmar retrabajo                       | OT vuelve a producción               | NOT RUN |
|   14 | Ejecutar retrabajo                        | Fase pasa por el circuito productivo | NOT RUN |
|   15 | Finalizar retrabajo                       | Fase queda TERMINADO               | NOT RUN |
|   16 | Consultar OT                              | OT vuelve a EN_CALIDAD             | NOT RUN |
---</t>
  </si>
  <si>
    <t>1. Abrir OT en Calidad
2. Abrir checklist
3. Marcar al menos un punto como No cumple
4. Registrar observación
5. Completar checklist
6. Seleccionar No conforme
7. Confirmar auditoría
8. Ingresar como Jefe
9. Consultar observaciones
10. Seleccionar fase de retrabajo
11. Seleccionar operador habilitado
12. Registrar tiempo
13. Confirmar retrabajo
14. Ejecutar retrabajo
15. Finalizar retrabajo
16. Consultar OT</t>
  </si>
  <si>
    <t>Intentar emitir un veredicto sin completar las respuestas requeridas.</t>
  </si>
  <si>
    <t>E2E-C-NEG-02</t>
  </si>
  <si>
    <t>El sistema impide finalizar la auditoría.</t>
  </si>
  <si>
    <t>Intentar completar la auditoría con un punto No cumple sin observación.</t>
  </si>
  <si>
    <t>E2E-C-NEG-03</t>
  </si>
  <si>
    <t>El sistema impide completar la operación.</t>
  </si>
  <si>
    <t>Intentar registrar una entrega cuando la OT no se encuentra en DESPACHO.</t>
  </si>
  <si>
    <t>E2E-C-NEG-04</t>
  </si>
  <si>
    <t>El sistema impide realizar la entrega.</t>
  </si>
  <si>
    <t>Intentar enviar a despacho una OT cuyo veredicto es No conforme.</t>
  </si>
  <si>
    <t>E2E-C-NEG-05</t>
  </si>
  <si>
    <t>El sistema impide el despacho.</t>
  </si>
  <si>
    <t>Buscar órdenes / expediente completo</t>
  </si>
  <si>
    <t>HU-1.2 — Buscar órdenes / expediente completo</t>
  </si>
  <si>
    <t>Acceso a búsqueda de órdenes</t>
  </si>
  <si>
    <t>TC-D-1.2-01</t>
  </si>
  <si>
    <t>F-15</t>
  </si>
  <si>
    <t>HU-1.2</t>
  </si>
  <si>
    <t>La funcionalidad de búsqueda se encuentra disponible para el usuario autorizado.
Evidencia: NOT RUN
Defecto / Issue: N/A
PR: N/A
Observaciones: N/A
---</t>
  </si>
  <si>
    <t>* Usuario autenticado con permisos para consultar órdenes.
* Existencia de al menos una orden registrada.</t>
  </si>
  <si>
    <t>Buscar orden existente</t>
  </si>
  <si>
    <t>TC-D-1.2-02</t>
  </si>
  <si>
    <t>El sistema encuentra la orden correspondiente y permite acceder a su información.
Evidencia: NOT RUN
Defecto / Issue: N/A
PR: N/A
Observaciones: N/A
---</t>
  </si>
  <si>
    <t>* Existe una OT conocida.</t>
  </si>
  <si>
    <t>Buscar orden inexistente</t>
  </si>
  <si>
    <t>TC-D-1.2-03</t>
  </si>
  <si>
    <t>El sistema informa que no existen resultados para el criterio utilizado y no muestra información correspondiente a otra orden.
Evidencia: NOT RUN
Defecto / Issue: N/A
PR: N/A
Observaciones: N/A
---</t>
  </si>
  <si>
    <t>Usuario autorizado; OT o datos de búsqueda disponibles.</t>
  </si>
  <si>
    <t>Visualizar expediente completo</t>
  </si>
  <si>
    <t>TC-D-1.2-04</t>
  </si>
  <si>
    <t>El expediente permite consultar la información correspondiente a la orden y mantiene relación con los datos registrados durante su ciclo.
Evidencia: NOT RUN
Defecto / Issue: N/A
PR: N/A
Observaciones: N/A
---</t>
  </si>
  <si>
    <t>* Existe una orden con información registrada en diferentes etapas.</t>
  </si>
  <si>
    <t>Consistencia de estados del expediente</t>
  </si>
  <si>
    <t>TC-D-1.2-05</t>
  </si>
  <si>
    <t>El estado informado en el expediente coincide con el estado registrado para la orden.
Evidencia: NOT RUN
Defecto / Issue: N/A
PR: N/A
Observaciones: N/A
---</t>
  </si>
  <si>
    <t>* Existe una OT cuyo estado actual es conocido.</t>
  </si>
  <si>
    <t>Visualización de fases y trazabilidad</t>
  </si>
  <si>
    <t>TC-D-1.2-06</t>
  </si>
  <si>
    <t>Las fases correspondientes a la orden pueden identificarse y sus estados coinciden con los registrados en producción.
Evidencia: NOT RUN
Defecto / Issue: N/A
PR: N/A
Observaciones: N/A
---</t>
  </si>
  <si>
    <t>* Existe una OT con más de una fase.
* Las fases poseen estados registrados.</t>
  </si>
  <si>
    <t>Visualización de información de Calidad</t>
  </si>
  <si>
    <t>TC-D-1.2-07</t>
  </si>
  <si>
    <t>La información de Calidad asociada a la OT puede consultarse y corresponde a la orden seleccionada.
Evidencia: NOT RUN
Defecto / Issue: N/A
PR: N/A
Observaciones: N/A
---</t>
  </si>
  <si>
    <t>* Existe una OT que haya llegado a Calidad.</t>
  </si>
  <si>
    <t>Visualización de adjuntos del expediente</t>
  </si>
  <si>
    <t>TC-D-1.2-08</t>
  </si>
  <si>
    <t>El adjunto corresponde a la orden consultada y puede visualizarse según las reglas definidas para adjuntos.
Evidencia: NOT RUN
Defecto / Issue: N/A
PR: N/A
Observaciones: N/A
---</t>
  </si>
  <si>
    <t>* Existe una orden con un adjunto registrado.</t>
  </si>
  <si>
    <t>Circuito comercial del Vendedor y consulta del expediente.</t>
  </si>
  <si>
    <t>Consultar notas del expediente</t>
  </si>
  <si>
    <t>TC-D-1.2-09</t>
  </si>
  <si>
    <t>Se muestran las notas disponibles de la OT con su origen correspondiente.</t>
  </si>
  <si>
    <t>Usuario autorizado; existe una OT con notas registradas de los orígenes definidos.</t>
  </si>
  <si>
    <t>OT con nota de Jefe y/o Calidad; identificador de OT válido.</t>
  </si>
  <si>
    <t>Las notas disponibles se muestran asociadas a la OT y con su origen identificado.</t>
  </si>
  <si>
    <t>1. Ingresar con un usuario autorizado.
2. Buscar una OT existente.
3. Abrir el expediente.
4. Consultar las notas.
5. Verificar el origen de cada nota.</t>
  </si>
  <si>
    <t>INCORPORADO: caso faltante detectado al contrastar el Excel con la matriz general vigente. Se incorpora para completar la cobertura del proyecto.</t>
  </si>
  <si>
    <t>OFICIAL / INCORPORADO</t>
  </si>
  <si>
    <t>Matriz General QA vigente</t>
  </si>
  <si>
    <t>Caso faltante incorporado</t>
  </si>
  <si>
    <t>Consultar checklist y veredicto del expediente</t>
  </si>
  <si>
    <t>TC-D-1.2-10</t>
  </si>
  <si>
    <t>La información de Calidad forma parte del expediente de la OT.</t>
  </si>
  <si>
    <t>Usuario autorizado; existe una OT con auditoría de Calidad finalizada.</t>
  </si>
  <si>
    <t>OT con checklist completo y veredicto Conforme o No conforme.</t>
  </si>
  <si>
    <t>El expediente muestra el checklist y el veredicto correspondientes a la OT consultada.</t>
  </si>
  <si>
    <t>1. Ingresar con un usuario autorizado.
2. Buscar una OT existente.
3. Abrir el expediente.
4. Consultar la información de Calidad.
5. Comparar checklist y veredicto con la OT.</t>
  </si>
  <si>
    <t>Consultar información de despacho y entrega</t>
  </si>
  <si>
    <t>TC-D-1.2-11</t>
  </si>
  <si>
    <t>El expediente permite consultar la información correspondiente al despacho y la entrega.</t>
  </si>
  <si>
    <t>Usuario autorizado; existe una OT que alcanzó Despacho o Entregada.</t>
  </si>
  <si>
    <t>OT en DESPACHO o ENTREGADA; receptor y fecha de entrega cuando corresponda.</t>
  </si>
  <si>
    <t>Los datos de despacho/entrega visibles corresponden a la OT consultada.</t>
  </si>
  <si>
    <t>1. Ingresar con un usuario autorizado.
2. Buscar una OT existente.
3. Abrir el expediente.
4. Consultar despacho/entrega.
5. Verificar receptor, fecha y estado.</t>
  </si>
  <si>
    <t>Verificar consistencia entre expediente y estados</t>
  </si>
  <si>
    <t>TC-D-1.2-12</t>
  </si>
  <si>
    <t>Los estados mostrados en el expediente corresponden al estado real registrado para la OT.</t>
  </si>
  <si>
    <t>Usuario autorizado; existe una OT cuyo estado actual es conocido.</t>
  </si>
  <si>
    <t>OT en un estado válido; expediente con datos de cliente, cotización, fases y Calidad según corresponda.</t>
  </si>
  <si>
    <t>El estado informado en el expediente coincide con el estado registrado para la OT.</t>
  </si>
  <si>
    <t>1. Ingresar con un usuario autorizado.
2. Buscar una OT existente.
3. Abrir el expediente.
4. Verificar el estado informado.
5. Compararlo con el estado real de la OT.</t>
  </si>
  <si>
    <t>Vista global de planta</t>
  </si>
  <si>
    <t>HU-5.3 — Vista global de planta</t>
  </si>
  <si>
    <t>Acceso a vista global de planta</t>
  </si>
  <si>
    <t>TC-D-5.3-01</t>
  </si>
  <si>
    <t>F-16</t>
  </si>
  <si>
    <t>HU-5.3</t>
  </si>
  <si>
    <t>La vista se encuentra disponible y presenta información de producción.
Evidencia: NOT RUN
Defecto / Issue: N/A
PR: N/A
Observaciones: N/A
---</t>
  </si>
  <si>
    <t>* Usuario con permisos correspondientes.
* Existencia de actividad productiva.</t>
  </si>
  <si>
    <t>OT y registros suficientes para la vista/indicador.</t>
  </si>
  <si>
    <t>1. Ingresar como Gerente.
2. Acceder a la funcionalidad.
3. Preparar los datos del escenario.
4. Ejecutar la acción indicada.
5. Verificar el resultado esperado.</t>
  </si>
  <si>
    <t>Visualización de órdenes en producción</t>
  </si>
  <si>
    <t>TC-D-5.3-02</t>
  </si>
  <si>
    <t>La vista presenta las órdenes/fases que corresponden al estado productivo actual.
Evidencia: NOT RUN
Defecto / Issue: N/A
PR: N/A
Observaciones: N/A
---</t>
  </si>
  <si>
    <t>* Existen órdenes con fases en producción.</t>
  </si>
  <si>
    <t>Visualización de fases en cola</t>
  </si>
  <si>
    <t>TC-D-5.3-03</t>
  </si>
  <si>
    <t>La fase aparece con el estado correspondiente y puede diferenciarse de las fases en ejecución o terminadas.
Evidencia: NOT RUN
Defecto / Issue: N/A
PR: N/A
Observaciones: N/A
---</t>
  </si>
  <si>
    <t>* Existe al menos una fase en estado EN_COLA.</t>
  </si>
  <si>
    <t>Visualización de fases en ejecución</t>
  </si>
  <si>
    <t>TC-D-5.3-04</t>
  </si>
  <si>
    <t>La fase se presenta como actualmente en ejecución.
Evidencia: NOT RUN
Defecto / Issue: N/A
PR: N/A
Observaciones: N/A
---</t>
  </si>
  <si>
    <t>* Existe una fase en EN_EJECUCION.</t>
  </si>
  <si>
    <t>Visualización de fases terminadas</t>
  </si>
  <si>
    <t>TC-D-5.3-05</t>
  </si>
  <si>
    <t>La fase aparece con estado TERMINADO y no se presenta como pendiente o en ejecución.
Evidencia: NOT RUN
Defecto / Issue: N/A
PR: N/A
Observaciones: N/A
---</t>
  </si>
  <si>
    <t>* Existe una fase en TERMINADO.</t>
  </si>
  <si>
    <t>Orden y consistencia de información productiva</t>
  </si>
  <si>
    <t>TC-D-5.3-06</t>
  </si>
  <si>
    <t>La información presentada mantiene correspondencia con los estados reales de producción.
Evidencia: NOT RUN
Defecto / Issue: N/A
PR: N/A
Observaciones: N/A
---</t>
  </si>
  <si>
    <t>* Existen varias órdenes y fases en diferentes estados.</t>
  </si>
  <si>
    <t>No mostrar rendimiento individual de operadores</t>
  </si>
  <si>
    <t>TC-D-5.3-07</t>
  </si>
  <si>
    <t>La vista global no presenta métricas de rendimiento individual de operadores, dado que ese comportamiento no forma parte del alcance definido para HU-5.3.
Evidencia: NOT RUN
Defecto / Issue: N/A
PR: N/A
Observaciones: N/A
---</t>
  </si>
  <si>
    <t>Usuario Gerente autenticado; OT y datos de producción disponibles.</t>
  </si>
  <si>
    <t>Verificar actualización de la vista global después de una reasignación</t>
  </si>
  <si>
    <t>TC-D-5.3-08</t>
  </si>
  <si>
    <t>La vista global refleja la nueva asignación cuando una fase es reasignada antes de iniciar su ejecución.</t>
  </si>
  <si>
    <t>Usuario Gerente autorizado; existe una OT con una fase reasignable; existen operadores habilitados.</t>
  </si>
  <si>
    <t>OT con fase EN_COLA; operador original y nuevo operador habilitados para la fase.</t>
  </si>
  <si>
    <t>La vista global refleja la nueva asignación vigente.</t>
  </si>
  <si>
    <t>1. Preparar una OT con una fase EN_COLA.
2. Reasignar la fase al nuevo operador.
3. Ingresar a la vista global de planta.
4. Consultar la fase reasignada.
5. Verificar la asignación visible.</t>
  </si>
  <si>
    <t>Vista global de Calidad</t>
  </si>
  <si>
    <t>HU-5.4 — Vista global de Calidad</t>
  </si>
  <si>
    <t>Acceso a vista global de Calidad</t>
  </si>
  <si>
    <t>TC-D-5.4-01</t>
  </si>
  <si>
    <t>F-17</t>
  </si>
  <si>
    <t>HU-5.4</t>
  </si>
  <si>
    <t>La vista se encuentra disponible y presenta información consolidada de Calidad.
Evidencia: NOT RUN
Defecto / Issue: N/A
PR: N/A
Observaciones: N/A
---</t>
  </si>
  <si>
    <t>* Usuario con permisos correspondientes.
* Existencia de información de Calidad.</t>
  </si>
  <si>
    <t>Porcentaje de órdenes conformes</t>
  </si>
  <si>
    <t>TC-D-5.4-02</t>
  </si>
  <si>
    <t>El porcentaje mostrado corresponde a las órdenes con veredicto conforme registradas en el período/conjunto de datos correspondiente.
Evidencia: NOT RUN
Defecto / Issue: N/A
PR: N/A
Observaciones: N/A
---</t>
  </si>
  <si>
    <t>* Existen órdenes con veredicto CONFORME.</t>
  </si>
  <si>
    <t>Porcentaje de órdenes no conformes</t>
  </si>
  <si>
    <t>TC-D-5.4-03</t>
  </si>
  <si>
    <t>El porcentaje mostrado corresponde a las órdenes con veredicto no conforme registradas.
Evidencia: NOT RUN
Defecto / Issue: N/A
PR: N/A
Observaciones: N/A
---</t>
  </si>
  <si>
    <t>* Existen órdenes con veredicto NO CONFORME.</t>
  </si>
  <si>
    <t>Consistencia entre conformidad y no conformidad</t>
  </si>
  <si>
    <t>TC-D-5.4-04</t>
  </si>
  <si>
    <t>Los indicadores reflejan los datos reales registrados y no incluyen órdenes sin veredicto como conformes o no conformes.
Evidencia: NOT RUN
Defecto / Issue: N/A
PR: N/A
Observaciones: N/A
---</t>
  </si>
  <si>
    <t>* Existen órdenes conformes y no conformes.</t>
  </si>
  <si>
    <t>Reprocesos por fase</t>
  </si>
  <si>
    <t>TC-D-5.4-05</t>
  </si>
  <si>
    <t>Los reprocesos se reflejan asociados a la fase correspondiente.
Evidencia: NOT RUN
Defecto / Issue: N/A
PR: N/A
Observaciones: N/A
---</t>
  </si>
  <si>
    <t>* Existe al menos una orden con reproceso registrado.</t>
  </si>
  <si>
    <t>Auditorías recientes</t>
  </si>
  <si>
    <t>TC-D-5.4-06</t>
  </si>
  <si>
    <t>Las auditorías recientes disponibles corresponden a registros reales del sistema.
Evidencia: NOT RUN
Defecto / Issue: N/A
PR: N/A
Observaciones: N/A
---</t>
  </si>
  <si>
    <t>* Existen auditorías de Calidad registradas.</t>
  </si>
  <si>
    <t>Tiempo promedio de Calidad</t>
  </si>
  <si>
    <t>TC-D-5.4-07</t>
  </si>
  <si>
    <t>El cálculo utiliza como intervalo el tiempo comprendido entre la finalización de la última fase de producción y el veredicto de Calidad.
Evidencia: NOT RUN
Defecto / Issue: N/A
PR: N/A
Observaciones: N/A
---</t>
  </si>
  <si>
    <t>* Existen órdenes con finalización de última fase y posterior veredicto de Calidad.</t>
  </si>
  <si>
    <t>Actualización de indicadores después de una nueva auditoría</t>
  </si>
  <si>
    <t>TC-D-5.4-08</t>
  </si>
  <si>
    <t>La información consolidada refleja el nuevo registro cuando corresponda.
Evidencia: NOT RUN
Defecto / Issue: N/A
PR: N/A
Observaciones: N/A
---</t>
  </si>
  <si>
    <t>* Existe información previamente consolidada.
* Puede registrarse una nueva auditoría.</t>
  </si>
  <si>
    <t>Verificar actualización de indicadores después de un retrabajo</t>
  </si>
  <si>
    <t>TC-D-5.4-09</t>
  </si>
  <si>
    <t>La información de retrabajo queda reflejada en la vista global de Calidad.</t>
  </si>
  <si>
    <t>Usuario Gerente autorizado; existe una OT con una no conformidad y un retrabajo registrado.</t>
  </si>
  <si>
    <t>OT no conforme; fase o fases rehechas; registro de retrabajo disponible.</t>
  </si>
  <si>
    <t>La vista global de Calidad refleja el retrabajo registrado según las reglas funcionales vigentes.</t>
  </si>
  <si>
    <t>1. Preparar una OT con retrabajo registrado.
2. Ingresar como Gerente.
3. Acceder a la vista global de Calidad.
4. Consultar retrabajos por fase.
5. Comparar la información con el registro de la OT.</t>
  </si>
  <si>
    <t>La información de retrabajo queda reflejada correctamente.</t>
  </si>
  <si>
    <t>Flujo end-to-end de Fase D.</t>
  </si>
  <si>
    <t>E2E Fase D</t>
  </si>
  <si>
    <t>Cobertura end-to-end Fase D</t>
  </si>
  <si>
    <t>Consulta y visibilidad global</t>
  </si>
  <si>
    <t>E2E-D-01</t>
  </si>
  <si>
    <t>F-E2E-D</t>
  </si>
  <si>
    <t>E2E-D</t>
  </si>
  <si>
    <t>La información consultada desde el expediente y las vistas globales mantiene consistencia con los datos registrados en el sistema.
Evidencia: NOT RUN
Defecto / Issue: N/A
PR: N/A
Observaciones: N/A
---</t>
  </si>
  <si>
    <t>* Backend disponible.
* Usuarios con roles correspondientes.
* Existencia de una OT procesada.
* Existencia de información de producción.
* Existencia de información de Calidad.
* Datos suficientes para alimentar las vistas globales.</t>
  </si>
  <si>
    <t>1. Ingresar al sistema con un usuario autorizado.
2. Buscar una OT existente.
3. Abrir el expediente.
4. Verificar datos del cliente.
5. Verificar información de la solicitud.
6. Verificar cotización.
7. Verificar estado de la OT.
8. Verificar fases asociadas.
9. Verificar estados de producción.
10. Verificar información de Calidad.
11. Verificar observaciones/notas disponibles.
12. Verificar adjuntos disponibles.
13. Acceder a la vista global de planta.
14. Comparar los estados productivos mostrados con los datos de la OT.
15. Acceder a la vista global de Calidad.
16. Comparar los indicadores con los registros de Calidad.
17. Verificar reprocesos.
18. Verificar auditorías recientes.
19. Verificar tiempo promedio de Calidad.
20. Comparar la información consolidada con los registros individuales.</t>
  </si>
  <si>
    <t>PRIORITY</t>
  </si>
  <si>
    <t>TYPE</t>
  </si>
  <si>
    <t>STATUS</t>
  </si>
  <si>
    <t>SEVERITY</t>
  </si>
  <si>
    <t>ALINEACIÓN</t>
  </si>
  <si>
    <t>PASS</t>
  </si>
  <si>
    <t>NO FUNCIONAL</t>
  </si>
  <si>
    <t>FAIL</t>
  </si>
  <si>
    <t>LOW</t>
  </si>
  <si>
    <t>BLOCKED</t>
  </si>
  <si>
    <t>REGRESSION</t>
  </si>
  <si>
    <t>SECURITY</t>
  </si>
  <si>
    <t>Valores controlados. NOT RUN = diseñado/no ejecutado; PASS/FAIL/BLOCKED se completan durante la ejecución.</t>
  </si>
  <si>
    <t>QualityTrack — Resumen de cobertura de casos de prueba</t>
  </si>
  <si>
    <t>Cobertura por área</t>
  </si>
  <si>
    <t>Casos</t>
  </si>
  <si>
    <t>FASE A — HU-1.1 — Levantar pedido</t>
  </si>
  <si>
    <t>FASE A — HU-5.1 — Configuración de fases</t>
  </si>
  <si>
    <t>FASE A — HU-2.1 — Recepción de cotización</t>
  </si>
  <si>
    <t>FASE A — HU-1.3 — Cotizaciones derivadas</t>
  </si>
  <si>
    <t>FASE B — HU-3.1 — Tareas en ejecución y pendientes</t>
  </si>
  <si>
    <t>FASE B — HU-3.2 — Adjuntos</t>
  </si>
  <si>
    <t>FASE B — HU-3.3 — Vencimiento</t>
  </si>
  <si>
    <t>FASE B — HU-3.4 — Notas discriminadas por origen</t>
  </si>
  <si>
    <t>FASE B — HU-2.2 — Gestión de planta / reasignación</t>
  </si>
  <si>
    <t>FASE C — HU-4.1 — Órdenes terminadas</t>
  </si>
  <si>
    <t>FASE C — HU-4.2 — Auditoría / checklist</t>
  </si>
  <si>
    <t>FASE C — HU-4.3 — Veredicto</t>
  </si>
  <si>
    <t>FASE C — HU-2.3 — No conformidades / retrabajo</t>
  </si>
  <si>
    <t>FASE C — HU-1.4 — Despacho / Entrega</t>
  </si>
  <si>
    <t>FASE D — HU-1.2 — Buscar órdenes / expediente completo</t>
  </si>
  <si>
    <t>FASE D — HU-5.3 — Vista global de planta</t>
  </si>
  <si>
    <t>FASE D — HU-5.4 — Vista global de Calidad</t>
  </si>
  <si>
    <t>FASE A — E2E principal</t>
  </si>
  <si>
    <t>FASE A — E2E negativos</t>
  </si>
  <si>
    <t>FASE B — E2E principal</t>
  </si>
  <si>
    <t>FASE B — E2E negativos</t>
  </si>
  <si>
    <t>FASE C — E2E principal</t>
  </si>
  <si>
    <t>FASE C — E2E negativos</t>
  </si>
  <si>
    <t>FASE D — E2E principal</t>
  </si>
  <si>
    <t>FASE D — E2E negativos</t>
  </si>
  <si>
    <t>TOTAL FASE A</t>
  </si>
  <si>
    <t>TOTAL FASE B</t>
  </si>
  <si>
    <t>TOTAL FASE C</t>
  </si>
  <si>
    <t>TOTAL FASE D</t>
  </si>
  <si>
    <t>TOTAL GENERAL A-D</t>
  </si>
  <si>
    <t>Casos por prioridad</t>
  </si>
  <si>
    <t>Casos por tipo</t>
  </si>
  <si>
    <t>CONTROL DE FASES</t>
  </si>
  <si>
    <t>Fase</t>
  </si>
  <si>
    <t>Fase A</t>
  </si>
  <si>
    <t>Fase B</t>
  </si>
  <si>
    <t>Fase C</t>
  </si>
  <si>
    <t>Fase D</t>
  </si>
  <si>
    <t>TOTAL MVP</t>
  </si>
  <si>
    <t>QualityTrack — Control de alineación de la matriz con el proyecto</t>
  </si>
  <si>
    <t>Resultado</t>
  </si>
  <si>
    <t>La baseline se contrastó con PRD V2, Backlog V2, DB V2, Análisis QA, flujo unificado, auditoría 25/09, PM y PRs relevantes. Los casos retirados se preservan en NO_BASELINE.</t>
  </si>
  <si>
    <t>FUENTE / REFERENCIA</t>
  </si>
  <si>
    <t>USO</t>
  </si>
  <si>
    <t>RESULTADO</t>
  </si>
  <si>
    <t>PRD V2</t>
  </si>
  <si>
    <t>Flujo, roles, estados, alcance y reglas.</t>
  </si>
  <si>
    <t>ALINEADO</t>
  </si>
  <si>
    <t>Backlog V2</t>
  </si>
  <si>
    <t>17 HUs activas; HU-5.2 eliminada; criterios de aceptación.</t>
  </si>
  <si>
    <t>DB V2</t>
  </si>
  <si>
    <t>Integridad, estados, CUIT, adjuntos y trazabilidad.</t>
  </si>
  <si>
    <t>Análisis Funcional QA v2</t>
  </si>
  <si>
    <t>Base para escenarios, E2E y reglas transversales.</t>
  </si>
  <si>
    <t>PR #202</t>
  </si>
  <si>
    <t>Formaliza D-1 a D-6 en documentación.</t>
  </si>
  <si>
    <t>INCORPORADO</t>
  </si>
  <si>
    <t>PR #160 / #161 / #188</t>
  </si>
  <si>
    <t>D-4: CUIT único y datos obligatorios.</t>
  </si>
  <si>
    <t>PR #199</t>
  </si>
  <si>
    <t>D-6: adjuntos en BD, 10 MB, visualización.</t>
  </si>
  <si>
    <t>PR #201</t>
  </si>
  <si>
    <t>D-5: fases con operadores habilitados.</t>
  </si>
  <si>
    <t>PR #228</t>
  </si>
  <si>
    <t>Actualización PM de la matriz Fase A y cambios del 25/09.</t>
  </si>
  <si>
    <t>CONSIDERADO / HISTÓRICO</t>
  </si>
  <si>
    <t>Issue #105 / PR #106</t>
  </si>
  <si>
    <t>Antecedente de diseño de matriz Fase A.</t>
  </si>
  <si>
    <t>PRESERVADO</t>
  </si>
  <si>
    <t>Casos baseline</t>
  </si>
  <si>
    <t>Casos derivados</t>
  </si>
  <si>
    <t>Total</t>
  </si>
  <si>
    <t>TOTAL</t>
  </si>
  <si>
    <t>CAMBIOS / DECISIONES</t>
  </si>
  <si>
    <t>DETALLE</t>
  </si>
  <si>
    <t>A-1</t>
  </si>
  <si>
    <t>E2E-A-NEG-04 no está en el Excel actual y no se reutiliza.</t>
  </si>
  <si>
    <t>D-5 lo eliminó del alcance; no se incorpora.</t>
  </si>
  <si>
    <t>D-1</t>
  </si>
  <si>
    <t>Se retiraron E2E-D-NEG-01 a 04 de la baseline.</t>
  </si>
  <si>
    <t>Son negativos QA adicionales válidos, pero no forman parte de los 30 casos base de Fase D; quedan preservados en NO_BASELINE.</t>
  </si>
  <si>
    <t>D-2</t>
  </si>
  <si>
    <t>Se agregaron TC-D-1.2-09 a 12.</t>
  </si>
  <si>
    <t>Faltaban en el Excel y están en la matriz funcional vigente.</t>
  </si>
  <si>
    <t>D-3</t>
  </si>
  <si>
    <t>Se agregó TC-D-5.3-08.</t>
  </si>
  <si>
    <t>Faltaba en el Excel y está en la matriz funcional vigente.</t>
  </si>
  <si>
    <t>D-4</t>
  </si>
  <si>
    <t>Se agregó TC-D-5.4-09.</t>
  </si>
  <si>
    <t>Ejecución</t>
  </si>
  <si>
    <t>Todos los casos permanecen NOT RUN.</t>
  </si>
  <si>
    <t>Result, Evidence, Defect ID y Severity quedan para la ejecución real.</t>
  </si>
  <si>
    <t>Decisión</t>
  </si>
  <si>
    <t>Motivo</t>
  </si>
  <si>
    <t>Uso futuro</t>
  </si>
  <si>
    <t>E2E-D-NEG-01</t>
  </si>
  <si>
    <t>D</t>
  </si>
  <si>
    <t>NO BASELINE</t>
  </si>
  <si>
    <t>Consulta de OT inexistente: negativo QA adicional, no incluido en los 30 casos base de Fase D.</t>
  </si>
  <si>
    <t>Candidato para regresión/negativos.</t>
  </si>
  <si>
    <t>E2E-D-NEG-02</t>
  </si>
  <si>
    <t>Inconsistencia expediente vs vista global: negativo QA adicional.</t>
  </si>
  <si>
    <t>Candidato para regresión/integración.</t>
  </si>
  <si>
    <t>E2E-D-NEG-03</t>
  </si>
  <si>
    <t>Indicadores sin datos suficientes: negativo QA adicional.</t>
  </si>
  <si>
    <t>Candidato para validación de datos.</t>
  </si>
  <si>
    <t>E2E-D-NEG-04</t>
  </si>
  <si>
    <t>Mezcla de datos entre órdenes: negativo QA adicional.</t>
  </si>
  <si>
    <t>Candidato para integridad/segregación.</t>
  </si>
  <si>
    <t>E2E-A-NEG-04</t>
  </si>
  <si>
    <t>A</t>
  </si>
  <si>
    <t>ELIMINADO</t>
  </si>
  <si>
    <t>D-5: una fase no puede crearse sin operadores habilitados. El escenario dejó de ser válido; el ID no se reutiliza.</t>
  </si>
  <si>
    <t>Solo referencia histórica.</t>
  </si>
  <si>
    <t>Fuente principal</t>
  </si>
  <si>
    <t>PR / decisión</t>
  </si>
  <si>
    <t>Observación</t>
  </si>
  <si>
    <t>OFICIAL</t>
  </si>
  <si>
    <t>HU-1.1 / D-4</t>
  </si>
  <si>
    <t>PR #160 + #161 + #188 + #202</t>
  </si>
  <si>
    <t>Datos obligatorios y CUIT único.</t>
  </si>
  <si>
    <t>Según HU/fase</t>
  </si>
  <si>
    <t>Caso base de ejecución.</t>
  </si>
  <si>
    <t>HU-1.1 / D-6</t>
  </si>
  <si>
    <t>PR #199 + #202</t>
  </si>
  <si>
    <t>Adjuntos.</t>
  </si>
  <si>
    <t>HU-5.1/HU-2.1 / D-5</t>
  </si>
  <si>
    <t>PR #201 + #202</t>
  </si>
  <si>
    <t>Operadores habilitados.</t>
  </si>
  <si>
    <t>Matriz general QA vigente</t>
  </si>
  <si>
    <t>PRD/Backlog v2</t>
  </si>
  <si>
    <t>Caso faltante agregado.</t>
  </si>
  <si>
    <t>pendiente de cotizacion</t>
  </si>
  <si>
    <t>Modificado: El adjunto sigue disponible al recargar y se abre desde el navegador. (ref. D-6) Prueba exploratoria de seguridad</t>
  </si>
  <si>
    <t xml:space="preserve">* OT aprobada y generada.
* Fases configuradas.
* Operadores habilitados.
* Usuarios disponibles para la ejecución.
* Backend y frontend operativos.
| Paso | Acción  | Resultado esperado 
1 | Ingresar con usuario Operario | Acceso correcto                              
2 | Consultar tareas pendientes   | Aparece la primera fase de la OT
3 | Identificar fase en cola      | Estado EN_COLA              
4 | Iniciar fase      | Estado EN_EJECUCION         
5 | Ejecutar operación  | La tarea permanece disponible para completar 
6 | Finalizar fase | Estado TERMINADO
7 | Consultar siguiente fase  | Siguiente fase disponible en EN_COLA  
8 | Iniciar siguiente fase        | Estado EN_EJECUCION                        
9 | Completar las fases restantes | Cada fase pasa a TERMINADO
10 | Finalizar última fase    | Última fase queda TERMINADO
11 | Consultar estado de OT        | OT pasa a EN_CALIDAD                       
12 | Consultar desde Calidad   | OT disponible para el circuito de Calidad   </t>
  </si>
  <si>
    <t>Verificar que la primera fase de la OT quede en En Produccion</t>
  </si>
  <si>
    <t>Baseline por fases = 157 casos ejecutables.</t>
  </si>
  <si>
    <t xml:space="preserve">Modificado: Solo se ofrecen fases con operarios habilitados. (ref. D-5) </t>
  </si>
  <si>
    <t xml:space="preserve">1. Iniciar la última fase.
2. Finalizar la operación.
</t>
  </si>
  <si>
    <t xml:space="preserve">1. Iniciar la primera fase.
2. Finalizar la primera fase.
</t>
  </si>
  <si>
    <t>Archivo válido</t>
  </si>
  <si>
    <t>El archivo esta asociado correctamente a la OT/fase.</t>
  </si>
  <si>
    <t>Existe una OT/fase disponible para producción con archivo adjunto.</t>
  </si>
  <si>
    <t>Archivo formato válido mayor a 10 MB</t>
  </si>
  <si>
    <t>Archivo formato válido hasta a 10 MB</t>
  </si>
  <si>
    <t>Fase y operadores habilitados</t>
  </si>
  <si>
    <t>Datos de prueba válidos</t>
  </si>
  <si>
    <t>Datos de prueba válidos.</t>
  </si>
  <si>
    <t>1. Ingresar como usuario autorizado.
2. Acceder a la funcionalidad.
3. Ejecutar la acción indicada.
4. Verificar el resultado esperado.</t>
  </si>
  <si>
    <t>Intentar iniciar una fase sin un operador habilitado</t>
  </si>
  <si>
    <t>Fase y operadores no habilitados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</si>
</sst>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1"/>
      <color rgb="FFFFFFFF"/>
      <name val="Calibri"/>
      <family val="2"/>
    </font>
    <font>
      <b/>
      <sz val="9"/>
      <name val="Calibri"/>
      <family val="2"/>
    </font>
    <font>
      <sz val="9"/>
      <name val="Calibri"/>
      <family val="2"/>
    </font>
    <font>
      <b/>
      <sz val="10"/>
      <name val="Calibri"/>
      <family val="2"/>
    </font>
    <font>
      <sz val="10"/>
      <name val="Calibri"/>
      <family val="2"/>
    </font>
    <font>
      <i/>
      <sz val="9"/>
      <name val="Calibri"/>
      <family val="2"/>
    </font>
    <font>
      <b/>
      <sz val="11"/>
      <name val="Calibri"/>
    </font>
    <font>
      <b/>
      <sz val="14"/>
      <color theme="0"/>
      <name val="Calibri"/>
      <family val="2"/>
    </font>
  </fonts>
  <fills count="7">
    <fill>
      <patternFill patternType="none"/>
    </fill>
    <fill>
      <patternFill patternType="gray125"/>
    </fill>
    <fill>
      <patternFill patternType="solid">
        <fgColor rgb="FF1F4E79"/>
        <bgColor rgb="FF003366"/>
      </patternFill>
    </fill>
    <fill>
      <patternFill patternType="solid">
        <fgColor rgb="FFB4C6E7"/>
        <bgColor rgb="FFBFBFBF"/>
      </patternFill>
    </fill>
    <fill>
      <patternFill patternType="solid">
        <fgColor rgb="FFD9E1F2"/>
        <bgColor rgb="FFEDEDED"/>
      </patternFill>
    </fill>
    <fill>
      <patternFill patternType="solid">
        <fgColor rgb="FFD9EAF7"/>
      </patternFill>
    </fill>
    <fill>
      <patternFill patternType="solid">
        <fgColor rgb="FFF4CCCC"/>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s>
  <cellStyleXfs count="1">
    <xf numFmtId="0" fontId="0" fillId="0" borderId="0"/>
  </cellStyleXfs>
  <cellXfs count="22">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vertical="top" wrapText="1"/>
    </xf>
    <xf numFmtId="0" fontId="2" fillId="0" borderId="1" xfId="0" applyFont="1" applyBorder="1" applyAlignment="1">
      <alignment horizontal="center" vertical="top" wrapText="1"/>
    </xf>
    <xf numFmtId="0" fontId="3" fillId="0" borderId="1" xfId="0" applyFont="1" applyBorder="1" applyAlignment="1">
      <alignment horizontal="center" vertical="top" wrapText="1"/>
    </xf>
    <xf numFmtId="0" fontId="4" fillId="3" borderId="1" xfId="0" applyFont="1" applyFill="1" applyBorder="1"/>
    <xf numFmtId="0" fontId="5" fillId="0" borderId="1" xfId="0" applyFont="1" applyBorder="1"/>
    <xf numFmtId="0" fontId="0" fillId="2" borderId="0" xfId="0" applyFill="1"/>
    <xf numFmtId="0" fontId="5" fillId="0" borderId="1" xfId="0" applyFont="1" applyBorder="1" applyAlignment="1">
      <alignment horizontal="center"/>
    </xf>
    <xf numFmtId="0" fontId="4" fillId="4" borderId="1" xfId="0" applyFont="1" applyFill="1" applyBorder="1"/>
    <xf numFmtId="0" fontId="4" fillId="4" borderId="1" xfId="0" applyFont="1" applyFill="1" applyBorder="1" applyAlignment="1">
      <alignment horizontal="center"/>
    </xf>
    <xf numFmtId="0" fontId="0" fillId="0" borderId="1" xfId="0" applyBorder="1" applyAlignment="1">
      <alignment horizontal="center"/>
    </xf>
    <xf numFmtId="0" fontId="6" fillId="0" borderId="0" xfId="0" applyFont="1" applyAlignment="1">
      <alignment vertical="top" wrapText="1"/>
    </xf>
    <xf numFmtId="0" fontId="7" fillId="3" borderId="1" xfId="0" applyFont="1" applyFill="1" applyBorder="1"/>
    <xf numFmtId="0" fontId="0" fillId="0" borderId="0" xfId="0" applyAlignment="1">
      <alignment vertical="top" wrapText="1"/>
    </xf>
    <xf numFmtId="0" fontId="7" fillId="5" borderId="0" xfId="0" applyFont="1" applyFill="1"/>
    <xf numFmtId="0" fontId="7" fillId="5" borderId="0" xfId="0" applyFont="1" applyFill="1" applyAlignment="1">
      <alignment vertical="top" wrapText="1"/>
    </xf>
    <xf numFmtId="0" fontId="7" fillId="6" borderId="0" xfId="0" applyFont="1" applyFill="1" applyAlignment="1">
      <alignment vertical="top" wrapText="1"/>
    </xf>
    <xf numFmtId="0" fontId="8" fillId="2" borderId="0" xfId="0" applyFont="1" applyFill="1"/>
    <xf numFmtId="0" fontId="1" fillId="2" borderId="2" xfId="0" applyFont="1" applyFill="1" applyBorder="1" applyAlignment="1">
      <alignment horizontal="center" vertical="center"/>
    </xf>
    <xf numFmtId="0" fontId="6" fillId="0" borderId="0" xfId="0" applyFont="1" applyAlignment="1">
      <alignment vertical="top" wrapText="1"/>
    </xf>
    <xf numFmtId="0" fontId="0" fillId="0" borderId="0" xfId="0"/>
  </cellXfs>
  <cellStyles count="1">
    <cellStyle name="Normal" xfId="0" builtinId="0"/>
  </cellStyles>
  <dxfs count="4">
    <dxf>
      <font>
        <b/>
        <sz val="9"/>
        <color rgb="FF595959"/>
        <name val="Calibri"/>
        <charset val="1"/>
      </font>
      <fill>
        <patternFill>
          <bgColor rgb="FFEDEDED"/>
        </patternFill>
      </fill>
    </dxf>
    <dxf>
      <font>
        <b/>
        <sz val="9"/>
        <color rgb="FF9C5700"/>
        <name val="Calibri"/>
        <charset val="1"/>
      </font>
      <fill>
        <patternFill>
          <bgColor rgb="FFFFEB9C"/>
        </patternFill>
      </fill>
    </dxf>
    <dxf>
      <font>
        <b/>
        <sz val="9"/>
        <color rgb="FF9C0006"/>
        <name val="Calibri"/>
        <charset val="1"/>
      </font>
      <fill>
        <patternFill>
          <bgColor rgb="FFFFC7CE"/>
        </patternFill>
      </fill>
    </dxf>
    <dxf>
      <font>
        <b/>
        <sz val="9"/>
        <color rgb="FF006100"/>
        <name val="Calibri"/>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EDEDED"/>
      <rgbColor rgb="FFD9E1F2"/>
      <rgbColor rgb="FF660066"/>
      <rgbColor rgb="FFFF8080"/>
      <rgbColor rgb="FF0066CC"/>
      <rgbColor rgb="FFB4C6E7"/>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C57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9"/>
  <sheetViews>
    <sheetView tabSelected="1" topLeftCell="N1" zoomScale="73" zoomScaleNormal="73" workbookViewId="0">
      <pane ySplit="2" topLeftCell="A49" activePane="bottomLeft" state="frozen"/>
      <selection pane="bottomLeft" activeCell="V84" sqref="V84"/>
    </sheetView>
  </sheetViews>
  <sheetFormatPr baseColWidth="10" defaultColWidth="8.7109375" defaultRowHeight="15" x14ac:dyDescent="0.25"/>
  <cols>
    <col min="1" max="1" width="22" customWidth="1"/>
    <col min="2" max="2" width="38" customWidth="1"/>
    <col min="3" max="3" width="15" customWidth="1"/>
    <col min="4" max="4" width="24" customWidth="1"/>
    <col min="5" max="5" width="28" customWidth="1"/>
    <col min="6" max="6" width="24" customWidth="1"/>
    <col min="7" max="7" width="38" customWidth="1"/>
    <col min="8" max="8" width="18" customWidth="1"/>
    <col min="9" max="10" width="10" customWidth="1"/>
    <col min="11" max="11" width="12" customWidth="1"/>
    <col min="12" max="12" width="42" customWidth="1"/>
    <col min="13" max="13" width="48" customWidth="1"/>
    <col min="14" max="14" width="12" customWidth="1"/>
    <col min="15" max="15" width="14" customWidth="1"/>
    <col min="16" max="18" width="48" customWidth="1"/>
    <col min="19" max="19" width="52" customWidth="1"/>
    <col min="20" max="20" width="48" customWidth="1"/>
    <col min="21" max="22" width="12" customWidth="1"/>
    <col min="23" max="23" width="30" customWidth="1"/>
    <col min="24" max="24" width="50" customWidth="1"/>
    <col min="25" max="25" width="14" customWidth="1"/>
    <col min="26" max="26" width="12" customWidth="1"/>
    <col min="27" max="27" width="22" customWidth="1"/>
    <col min="28" max="28" width="38" customWidth="1"/>
    <col min="29" max="29" width="30" customWidth="1"/>
  </cols>
  <sheetData>
    <row r="1" spans="1:29" ht="24" customHeight="1" x14ac:dyDescent="0.25">
      <c r="A1" s="19" t="s">
        <v>0</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row>
    <row r="2" spans="1:29" ht="27.75" customHeight="1" x14ac:dyDescent="0.2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row>
    <row r="3" spans="1:29" ht="72" customHeight="1" x14ac:dyDescent="0.25">
      <c r="A3" s="2" t="s">
        <v>30</v>
      </c>
      <c r="B3" s="2" t="s">
        <v>31</v>
      </c>
      <c r="C3" s="2" t="s">
        <v>32</v>
      </c>
      <c r="D3" s="2" t="s">
        <v>33</v>
      </c>
      <c r="E3" s="2" t="s">
        <v>33</v>
      </c>
      <c r="F3" s="2" t="s">
        <v>34</v>
      </c>
      <c r="G3" s="2" t="s">
        <v>35</v>
      </c>
      <c r="H3" s="3" t="s">
        <v>36</v>
      </c>
      <c r="I3" s="4" t="s">
        <v>37</v>
      </c>
      <c r="J3" s="4" t="s">
        <v>38</v>
      </c>
      <c r="K3" s="4" t="s">
        <v>39</v>
      </c>
      <c r="L3" s="2" t="s">
        <v>35</v>
      </c>
      <c r="M3" s="2" t="s">
        <v>40</v>
      </c>
      <c r="N3" s="4" t="s">
        <v>41</v>
      </c>
      <c r="O3" s="4" t="s">
        <v>42</v>
      </c>
      <c r="P3" s="2" t="s">
        <v>43</v>
      </c>
      <c r="Q3" s="2" t="s">
        <v>44</v>
      </c>
      <c r="R3" s="2" t="s">
        <v>40</v>
      </c>
      <c r="S3" s="2" t="s">
        <v>45</v>
      </c>
      <c r="T3" s="2" t="s">
        <v>40</v>
      </c>
      <c r="U3" s="2" t="s">
        <v>925</v>
      </c>
      <c r="V3" s="4" t="s">
        <v>925</v>
      </c>
      <c r="W3" s="3" t="s">
        <v>36</v>
      </c>
      <c r="X3" s="2" t="s">
        <v>47</v>
      </c>
      <c r="Y3" s="4"/>
      <c r="Z3" s="4"/>
      <c r="AA3" s="14" t="s">
        <v>48</v>
      </c>
      <c r="AB3" s="14" t="s">
        <v>49</v>
      </c>
      <c r="AC3" s="14" t="s">
        <v>50</v>
      </c>
    </row>
    <row r="4" spans="1:29" ht="72" customHeight="1" x14ac:dyDescent="0.25">
      <c r="A4" s="2" t="s">
        <v>30</v>
      </c>
      <c r="B4" s="2" t="s">
        <v>31</v>
      </c>
      <c r="C4" s="2" t="s">
        <v>32</v>
      </c>
      <c r="D4" s="2" t="s">
        <v>33</v>
      </c>
      <c r="E4" s="2" t="s">
        <v>33</v>
      </c>
      <c r="F4" s="2" t="s">
        <v>34</v>
      </c>
      <c r="G4" s="2" t="s">
        <v>51</v>
      </c>
      <c r="H4" s="3" t="s">
        <v>52</v>
      </c>
      <c r="I4" s="4" t="s">
        <v>37</v>
      </c>
      <c r="J4" s="4" t="s">
        <v>38</v>
      </c>
      <c r="K4" s="4" t="s">
        <v>39</v>
      </c>
      <c r="L4" s="2" t="s">
        <v>51</v>
      </c>
      <c r="M4" s="2" t="s">
        <v>53</v>
      </c>
      <c r="N4" s="4" t="s">
        <v>54</v>
      </c>
      <c r="O4" s="4" t="s">
        <v>55</v>
      </c>
      <c r="P4" s="2" t="s">
        <v>43</v>
      </c>
      <c r="Q4" s="2" t="s">
        <v>56</v>
      </c>
      <c r="R4" s="2" t="s">
        <v>53</v>
      </c>
      <c r="S4" s="2" t="s">
        <v>57</v>
      </c>
      <c r="T4" s="2" t="s">
        <v>53</v>
      </c>
      <c r="U4" s="2" t="s">
        <v>925</v>
      </c>
      <c r="V4" s="4" t="s">
        <v>925</v>
      </c>
      <c r="W4" s="3" t="s">
        <v>52</v>
      </c>
      <c r="X4" s="2"/>
      <c r="Y4" s="4"/>
      <c r="Z4" s="4"/>
      <c r="AA4" s="14" t="s">
        <v>48</v>
      </c>
      <c r="AB4" s="14" t="s">
        <v>49</v>
      </c>
      <c r="AC4" s="14" t="s">
        <v>50</v>
      </c>
    </row>
    <row r="5" spans="1:29" ht="72" customHeight="1" x14ac:dyDescent="0.25">
      <c r="A5" s="2" t="s">
        <v>30</v>
      </c>
      <c r="B5" s="2" t="s">
        <v>31</v>
      </c>
      <c r="C5" s="2" t="s">
        <v>32</v>
      </c>
      <c r="D5" s="2" t="s">
        <v>33</v>
      </c>
      <c r="E5" s="2" t="s">
        <v>33</v>
      </c>
      <c r="F5" s="2" t="s">
        <v>34</v>
      </c>
      <c r="G5" s="2" t="s">
        <v>58</v>
      </c>
      <c r="H5" s="3" t="s">
        <v>59</v>
      </c>
      <c r="I5" s="4" t="s">
        <v>37</v>
      </c>
      <c r="J5" s="4" t="s">
        <v>38</v>
      </c>
      <c r="K5" s="4" t="s">
        <v>39</v>
      </c>
      <c r="L5" s="2" t="s">
        <v>58</v>
      </c>
      <c r="M5" s="2" t="s">
        <v>60</v>
      </c>
      <c r="N5" s="4" t="s">
        <v>61</v>
      </c>
      <c r="O5" s="4" t="s">
        <v>55</v>
      </c>
      <c r="P5" s="2" t="s">
        <v>43</v>
      </c>
      <c r="Q5" s="2" t="s">
        <v>62</v>
      </c>
      <c r="R5" s="2" t="s">
        <v>60</v>
      </c>
      <c r="S5" s="2" t="s">
        <v>63</v>
      </c>
      <c r="T5" s="2" t="s">
        <v>60</v>
      </c>
      <c r="U5" s="2" t="s">
        <v>925</v>
      </c>
      <c r="V5" s="4" t="s">
        <v>925</v>
      </c>
      <c r="W5" s="3" t="s">
        <v>59</v>
      </c>
      <c r="X5" s="2" t="s">
        <v>64</v>
      </c>
      <c r="Y5" s="4"/>
      <c r="Z5" s="4"/>
      <c r="AA5" s="14" t="s">
        <v>48</v>
      </c>
      <c r="AB5" s="14" t="s">
        <v>49</v>
      </c>
      <c r="AC5" s="14" t="s">
        <v>50</v>
      </c>
    </row>
    <row r="6" spans="1:29" ht="72" customHeight="1" x14ac:dyDescent="0.25">
      <c r="A6" s="2" t="s">
        <v>30</v>
      </c>
      <c r="B6" s="2" t="s">
        <v>31</v>
      </c>
      <c r="C6" s="2" t="s">
        <v>32</v>
      </c>
      <c r="D6" s="2" t="s">
        <v>33</v>
      </c>
      <c r="E6" s="2" t="s">
        <v>33</v>
      </c>
      <c r="F6" s="2" t="s">
        <v>34</v>
      </c>
      <c r="G6" s="2" t="s">
        <v>65</v>
      </c>
      <c r="H6" s="3" t="s">
        <v>66</v>
      </c>
      <c r="I6" s="4" t="s">
        <v>37</v>
      </c>
      <c r="J6" s="4" t="s">
        <v>38</v>
      </c>
      <c r="K6" s="4" t="s">
        <v>39</v>
      </c>
      <c r="L6" s="2" t="s">
        <v>65</v>
      </c>
      <c r="M6" s="2" t="s">
        <v>67</v>
      </c>
      <c r="N6" s="4" t="s">
        <v>61</v>
      </c>
      <c r="O6" s="4" t="s">
        <v>55</v>
      </c>
      <c r="P6" s="2" t="s">
        <v>43</v>
      </c>
      <c r="Q6" s="2" t="s">
        <v>68</v>
      </c>
      <c r="R6" s="2" t="s">
        <v>67</v>
      </c>
      <c r="S6" s="2" t="s">
        <v>69</v>
      </c>
      <c r="T6" s="2" t="s">
        <v>67</v>
      </c>
      <c r="U6" s="2" t="s">
        <v>925</v>
      </c>
      <c r="V6" s="4" t="s">
        <v>925</v>
      </c>
      <c r="W6" s="3" t="s">
        <v>66</v>
      </c>
      <c r="X6" s="2" t="s">
        <v>70</v>
      </c>
      <c r="Y6" s="4"/>
      <c r="Z6" s="4"/>
      <c r="AA6" s="14" t="s">
        <v>48</v>
      </c>
      <c r="AB6" s="14" t="s">
        <v>49</v>
      </c>
      <c r="AC6" s="14" t="s">
        <v>50</v>
      </c>
    </row>
    <row r="7" spans="1:29" ht="72" customHeight="1" x14ac:dyDescent="0.25">
      <c r="A7" s="2" t="s">
        <v>30</v>
      </c>
      <c r="B7" s="2" t="s">
        <v>31</v>
      </c>
      <c r="C7" s="2" t="s">
        <v>32</v>
      </c>
      <c r="D7" s="2" t="s">
        <v>33</v>
      </c>
      <c r="E7" s="2" t="s">
        <v>33</v>
      </c>
      <c r="F7" s="2" t="s">
        <v>34</v>
      </c>
      <c r="G7" s="2" t="s">
        <v>71</v>
      </c>
      <c r="H7" s="3" t="s">
        <v>72</v>
      </c>
      <c r="I7" s="4" t="s">
        <v>37</v>
      </c>
      <c r="J7" s="4" t="s">
        <v>38</v>
      </c>
      <c r="K7" s="4" t="s">
        <v>39</v>
      </c>
      <c r="L7" s="2" t="s">
        <v>71</v>
      </c>
      <c r="M7" s="2" t="s">
        <v>73</v>
      </c>
      <c r="N7" s="4" t="s">
        <v>41</v>
      </c>
      <c r="O7" s="4" t="s">
        <v>55</v>
      </c>
      <c r="P7" s="2" t="s">
        <v>43</v>
      </c>
      <c r="Q7" s="2" t="s">
        <v>74</v>
      </c>
      <c r="R7" s="2" t="s">
        <v>73</v>
      </c>
      <c r="S7" s="2" t="s">
        <v>75</v>
      </c>
      <c r="T7" s="2" t="s">
        <v>73</v>
      </c>
      <c r="U7" s="2" t="s">
        <v>925</v>
      </c>
      <c r="V7" s="4" t="s">
        <v>925</v>
      </c>
      <c r="W7" s="3" t="s">
        <v>72</v>
      </c>
      <c r="X7" s="2"/>
      <c r="Y7" s="4"/>
      <c r="Z7" s="4"/>
      <c r="AA7" s="14" t="s">
        <v>48</v>
      </c>
      <c r="AB7" s="14" t="s">
        <v>49</v>
      </c>
      <c r="AC7" s="14" t="s">
        <v>50</v>
      </c>
    </row>
    <row r="8" spans="1:29" ht="72" customHeight="1" x14ac:dyDescent="0.25">
      <c r="A8" s="2" t="s">
        <v>30</v>
      </c>
      <c r="B8" s="2" t="s">
        <v>31</v>
      </c>
      <c r="C8" s="2" t="s">
        <v>32</v>
      </c>
      <c r="D8" s="2" t="s">
        <v>33</v>
      </c>
      <c r="E8" s="2" t="s">
        <v>33</v>
      </c>
      <c r="F8" s="2" t="s">
        <v>34</v>
      </c>
      <c r="G8" s="2" t="s">
        <v>76</v>
      </c>
      <c r="H8" s="3" t="s">
        <v>77</v>
      </c>
      <c r="I8" s="4" t="s">
        <v>37</v>
      </c>
      <c r="J8" s="4" t="s">
        <v>38</v>
      </c>
      <c r="K8" s="4" t="s">
        <v>39</v>
      </c>
      <c r="L8" s="2" t="s">
        <v>76</v>
      </c>
      <c r="M8" s="2" t="s">
        <v>78</v>
      </c>
      <c r="N8" s="4" t="s">
        <v>41</v>
      </c>
      <c r="O8" s="4" t="s">
        <v>55</v>
      </c>
      <c r="P8" s="2" t="s">
        <v>43</v>
      </c>
      <c r="Q8" s="2" t="s">
        <v>79</v>
      </c>
      <c r="R8" s="2" t="s">
        <v>78</v>
      </c>
      <c r="S8" s="2" t="s">
        <v>80</v>
      </c>
      <c r="T8" s="2" t="s">
        <v>78</v>
      </c>
      <c r="U8" s="2" t="s">
        <v>925</v>
      </c>
      <c r="V8" s="4" t="s">
        <v>925</v>
      </c>
      <c r="W8" s="3" t="s">
        <v>77</v>
      </c>
      <c r="X8" s="2"/>
      <c r="Y8" s="4"/>
      <c r="Z8" s="4"/>
      <c r="AA8" s="14" t="s">
        <v>48</v>
      </c>
      <c r="AB8" s="14" t="s">
        <v>49</v>
      </c>
      <c r="AC8" s="14" t="s">
        <v>50</v>
      </c>
    </row>
    <row r="9" spans="1:29" ht="72" customHeight="1" x14ac:dyDescent="0.25">
      <c r="A9" s="2" t="s">
        <v>30</v>
      </c>
      <c r="B9" s="2" t="s">
        <v>31</v>
      </c>
      <c r="C9" s="2" t="s">
        <v>32</v>
      </c>
      <c r="D9" s="2" t="s">
        <v>33</v>
      </c>
      <c r="E9" s="2" t="s">
        <v>33</v>
      </c>
      <c r="F9" s="2" t="s">
        <v>34</v>
      </c>
      <c r="G9" s="2" t="s">
        <v>81</v>
      </c>
      <c r="H9" s="3" t="s">
        <v>82</v>
      </c>
      <c r="I9" s="4" t="s">
        <v>37</v>
      </c>
      <c r="J9" s="4" t="s">
        <v>38</v>
      </c>
      <c r="K9" s="4" t="s">
        <v>39</v>
      </c>
      <c r="L9" s="2" t="s">
        <v>81</v>
      </c>
      <c r="M9" s="2" t="s">
        <v>83</v>
      </c>
      <c r="N9" s="4" t="s">
        <v>54</v>
      </c>
      <c r="O9" s="4" t="s">
        <v>55</v>
      </c>
      <c r="P9" s="2" t="s">
        <v>43</v>
      </c>
      <c r="Q9" s="2" t="s">
        <v>84</v>
      </c>
      <c r="R9" s="2" t="s">
        <v>83</v>
      </c>
      <c r="S9" s="2" t="s">
        <v>85</v>
      </c>
      <c r="T9" s="2" t="s">
        <v>83</v>
      </c>
      <c r="U9" s="2" t="s">
        <v>925</v>
      </c>
      <c r="V9" s="4" t="s">
        <v>925</v>
      </c>
      <c r="W9" s="3" t="s">
        <v>82</v>
      </c>
      <c r="X9" s="2"/>
      <c r="Y9" s="4"/>
      <c r="Z9" s="4"/>
      <c r="AA9" s="14" t="s">
        <v>48</v>
      </c>
      <c r="AB9" s="14" t="s">
        <v>49</v>
      </c>
      <c r="AC9" s="14" t="s">
        <v>50</v>
      </c>
    </row>
    <row r="10" spans="1:29" ht="72" customHeight="1" x14ac:dyDescent="0.25">
      <c r="A10" s="2" t="s">
        <v>30</v>
      </c>
      <c r="B10" s="2" t="s">
        <v>31</v>
      </c>
      <c r="C10" s="2" t="s">
        <v>32</v>
      </c>
      <c r="D10" s="2" t="s">
        <v>33</v>
      </c>
      <c r="E10" s="2" t="s">
        <v>33</v>
      </c>
      <c r="F10" s="2" t="s">
        <v>34</v>
      </c>
      <c r="G10" s="2" t="s">
        <v>86</v>
      </c>
      <c r="H10" s="3" t="s">
        <v>87</v>
      </c>
      <c r="I10" s="4" t="s">
        <v>37</v>
      </c>
      <c r="J10" s="4" t="s">
        <v>38</v>
      </c>
      <c r="K10" s="4" t="s">
        <v>39</v>
      </c>
      <c r="L10" s="2" t="s">
        <v>86</v>
      </c>
      <c r="M10" s="2" t="s">
        <v>83</v>
      </c>
      <c r="N10" s="4" t="s">
        <v>54</v>
      </c>
      <c r="O10" s="4" t="s">
        <v>55</v>
      </c>
      <c r="P10" s="2" t="s">
        <v>43</v>
      </c>
      <c r="Q10" s="2" t="s">
        <v>88</v>
      </c>
      <c r="R10" s="2" t="s">
        <v>83</v>
      </c>
      <c r="S10" s="2" t="s">
        <v>89</v>
      </c>
      <c r="T10" s="2" t="s">
        <v>83</v>
      </c>
      <c r="U10" s="2" t="s">
        <v>925</v>
      </c>
      <c r="V10" s="4" t="s">
        <v>925</v>
      </c>
      <c r="W10" s="3" t="s">
        <v>87</v>
      </c>
      <c r="X10" s="2"/>
      <c r="Y10" s="4"/>
      <c r="Z10" s="4"/>
      <c r="AA10" s="14" t="s">
        <v>48</v>
      </c>
      <c r="AB10" s="14" t="s">
        <v>49</v>
      </c>
      <c r="AC10" s="14" t="s">
        <v>50</v>
      </c>
    </row>
    <row r="11" spans="1:29" ht="72" customHeight="1" x14ac:dyDescent="0.25">
      <c r="A11" s="2" t="s">
        <v>30</v>
      </c>
      <c r="B11" s="2" t="s">
        <v>31</v>
      </c>
      <c r="C11" s="2" t="s">
        <v>32</v>
      </c>
      <c r="D11" s="2" t="s">
        <v>33</v>
      </c>
      <c r="E11" s="2" t="s">
        <v>33</v>
      </c>
      <c r="F11" s="2" t="s">
        <v>34</v>
      </c>
      <c r="G11" s="2" t="s">
        <v>90</v>
      </c>
      <c r="H11" s="3" t="s">
        <v>91</v>
      </c>
      <c r="I11" s="4" t="s">
        <v>37</v>
      </c>
      <c r="J11" s="4" t="s">
        <v>38</v>
      </c>
      <c r="K11" s="4" t="s">
        <v>39</v>
      </c>
      <c r="L11" s="2" t="s">
        <v>90</v>
      </c>
      <c r="M11" s="2" t="s">
        <v>92</v>
      </c>
      <c r="N11" s="4" t="s">
        <v>54</v>
      </c>
      <c r="O11" s="4" t="s">
        <v>42</v>
      </c>
      <c r="P11" s="2" t="s">
        <v>43</v>
      </c>
      <c r="Q11" s="2" t="s">
        <v>93</v>
      </c>
      <c r="R11" s="2" t="s">
        <v>92</v>
      </c>
      <c r="S11" s="2" t="s">
        <v>94</v>
      </c>
      <c r="T11" s="2" t="s">
        <v>92</v>
      </c>
      <c r="U11" s="2" t="s">
        <v>925</v>
      </c>
      <c r="V11" s="4" t="s">
        <v>925</v>
      </c>
      <c r="W11" s="3" t="s">
        <v>91</v>
      </c>
      <c r="X11" s="2"/>
      <c r="Y11" s="4"/>
      <c r="Z11" s="4"/>
      <c r="AA11" s="14" t="s">
        <v>48</v>
      </c>
      <c r="AB11" s="14" t="s">
        <v>49</v>
      </c>
      <c r="AC11" s="14" t="s">
        <v>50</v>
      </c>
    </row>
    <row r="12" spans="1:29" ht="72" customHeight="1" x14ac:dyDescent="0.25">
      <c r="A12" s="2" t="s">
        <v>30</v>
      </c>
      <c r="B12" s="2" t="s">
        <v>31</v>
      </c>
      <c r="C12" s="2" t="s">
        <v>32</v>
      </c>
      <c r="D12" s="2" t="s">
        <v>33</v>
      </c>
      <c r="E12" s="2" t="s">
        <v>33</v>
      </c>
      <c r="F12" s="2" t="s">
        <v>34</v>
      </c>
      <c r="G12" s="2" t="s">
        <v>95</v>
      </c>
      <c r="H12" s="3" t="s">
        <v>96</v>
      </c>
      <c r="I12" s="4" t="s">
        <v>37</v>
      </c>
      <c r="J12" s="4" t="s">
        <v>38</v>
      </c>
      <c r="K12" s="4" t="s">
        <v>39</v>
      </c>
      <c r="L12" s="2" t="s">
        <v>95</v>
      </c>
      <c r="M12" s="2" t="s">
        <v>97</v>
      </c>
      <c r="N12" s="4" t="s">
        <v>41</v>
      </c>
      <c r="O12" s="4" t="s">
        <v>42</v>
      </c>
      <c r="P12" s="2" t="s">
        <v>43</v>
      </c>
      <c r="Q12" s="2" t="s">
        <v>98</v>
      </c>
      <c r="R12" s="2" t="s">
        <v>97</v>
      </c>
      <c r="S12" s="2" t="s">
        <v>99</v>
      </c>
      <c r="T12" s="2" t="s">
        <v>97</v>
      </c>
      <c r="U12" s="2" t="s">
        <v>925</v>
      </c>
      <c r="V12" s="4" t="s">
        <v>925</v>
      </c>
      <c r="W12" s="3" t="s">
        <v>96</v>
      </c>
      <c r="X12" s="2" t="s">
        <v>1068</v>
      </c>
      <c r="Y12" s="4"/>
      <c r="Z12" s="4"/>
      <c r="AA12" s="14" t="s">
        <v>48</v>
      </c>
      <c r="AB12" s="14" t="s">
        <v>49</v>
      </c>
      <c r="AC12" s="14" t="s">
        <v>50</v>
      </c>
    </row>
    <row r="13" spans="1:29" ht="72" customHeight="1" x14ac:dyDescent="0.25">
      <c r="A13" s="2" t="s">
        <v>30</v>
      </c>
      <c r="B13" s="2" t="s">
        <v>31</v>
      </c>
      <c r="C13" s="2" t="s">
        <v>32</v>
      </c>
      <c r="D13" s="2" t="s">
        <v>33</v>
      </c>
      <c r="E13" s="2" t="s">
        <v>33</v>
      </c>
      <c r="F13" s="2" t="s">
        <v>34</v>
      </c>
      <c r="G13" s="2" t="s">
        <v>100</v>
      </c>
      <c r="H13" s="3" t="s">
        <v>101</v>
      </c>
      <c r="I13" s="4" t="s">
        <v>37</v>
      </c>
      <c r="J13" s="4" t="s">
        <v>38</v>
      </c>
      <c r="K13" s="4" t="s">
        <v>39</v>
      </c>
      <c r="L13" s="2" t="s">
        <v>100</v>
      </c>
      <c r="M13" s="2" t="s">
        <v>102</v>
      </c>
      <c r="N13" s="4" t="s">
        <v>54</v>
      </c>
      <c r="O13" s="4" t="s">
        <v>103</v>
      </c>
      <c r="P13" s="2" t="s">
        <v>43</v>
      </c>
      <c r="Q13" s="2" t="s">
        <v>104</v>
      </c>
      <c r="R13" s="2" t="s">
        <v>102</v>
      </c>
      <c r="S13" s="2" t="s">
        <v>105</v>
      </c>
      <c r="T13" s="2" t="s">
        <v>102</v>
      </c>
      <c r="U13" s="2" t="s">
        <v>925</v>
      </c>
      <c r="V13" s="4" t="s">
        <v>925</v>
      </c>
      <c r="W13" s="3" t="s">
        <v>101</v>
      </c>
      <c r="X13" s="2"/>
      <c r="Y13" s="4"/>
      <c r="Z13" s="4"/>
      <c r="AA13" s="14" t="s">
        <v>48</v>
      </c>
      <c r="AB13" s="14" t="s">
        <v>49</v>
      </c>
      <c r="AC13" s="14" t="s">
        <v>50</v>
      </c>
    </row>
    <row r="14" spans="1:29" ht="72" customHeight="1" x14ac:dyDescent="0.25">
      <c r="A14" s="2" t="s">
        <v>30</v>
      </c>
      <c r="B14" s="2" t="s">
        <v>31</v>
      </c>
      <c r="C14" s="2" t="s">
        <v>32</v>
      </c>
      <c r="D14" s="2" t="s">
        <v>33</v>
      </c>
      <c r="E14" s="2" t="s">
        <v>33</v>
      </c>
      <c r="F14" s="2" t="s">
        <v>34</v>
      </c>
      <c r="G14" s="2" t="s">
        <v>106</v>
      </c>
      <c r="H14" s="3" t="s">
        <v>107</v>
      </c>
      <c r="I14" s="4" t="s">
        <v>37</v>
      </c>
      <c r="J14" s="4" t="s">
        <v>38</v>
      </c>
      <c r="K14" s="4" t="s">
        <v>39</v>
      </c>
      <c r="L14" s="2" t="s">
        <v>106</v>
      </c>
      <c r="M14" s="2" t="s">
        <v>108</v>
      </c>
      <c r="N14" s="4" t="s">
        <v>41</v>
      </c>
      <c r="O14" s="4" t="s">
        <v>103</v>
      </c>
      <c r="P14" s="2" t="s">
        <v>43</v>
      </c>
      <c r="Q14" s="2" t="s">
        <v>109</v>
      </c>
      <c r="R14" s="2" t="s">
        <v>108</v>
      </c>
      <c r="S14" s="2" t="s">
        <v>110</v>
      </c>
      <c r="T14" s="2" t="s">
        <v>108</v>
      </c>
      <c r="U14" s="2" t="s">
        <v>925</v>
      </c>
      <c r="V14" s="4" t="s">
        <v>925</v>
      </c>
      <c r="W14" s="3" t="s">
        <v>107</v>
      </c>
      <c r="X14" s="2"/>
      <c r="Y14" s="4"/>
      <c r="Z14" s="4"/>
      <c r="AA14" s="14" t="s">
        <v>48</v>
      </c>
      <c r="AB14" s="14" t="s">
        <v>49</v>
      </c>
      <c r="AC14" s="14" t="s">
        <v>50</v>
      </c>
    </row>
    <row r="15" spans="1:29" ht="72" customHeight="1" x14ac:dyDescent="0.25">
      <c r="A15" s="2" t="s">
        <v>30</v>
      </c>
      <c r="B15" s="2" t="s">
        <v>31</v>
      </c>
      <c r="C15" s="2" t="s">
        <v>32</v>
      </c>
      <c r="D15" s="2" t="s">
        <v>33</v>
      </c>
      <c r="E15" s="2" t="s">
        <v>33</v>
      </c>
      <c r="F15" s="2" t="s">
        <v>34</v>
      </c>
      <c r="G15" s="2" t="s">
        <v>111</v>
      </c>
      <c r="H15" s="3" t="s">
        <v>112</v>
      </c>
      <c r="I15" s="4" t="s">
        <v>37</v>
      </c>
      <c r="J15" s="4" t="s">
        <v>38</v>
      </c>
      <c r="K15" s="4" t="s">
        <v>39</v>
      </c>
      <c r="L15" s="2" t="s">
        <v>111</v>
      </c>
      <c r="M15" s="2" t="s">
        <v>113</v>
      </c>
      <c r="N15" s="4" t="s">
        <v>54</v>
      </c>
      <c r="O15" s="4" t="s">
        <v>55</v>
      </c>
      <c r="P15" s="2" t="s">
        <v>43</v>
      </c>
      <c r="Q15" s="2" t="s">
        <v>114</v>
      </c>
      <c r="R15" s="2" t="s">
        <v>113</v>
      </c>
      <c r="S15" s="2" t="s">
        <v>115</v>
      </c>
      <c r="T15" s="2" t="s">
        <v>113</v>
      </c>
      <c r="U15" s="2" t="s">
        <v>925</v>
      </c>
      <c r="V15" s="4" t="s">
        <v>925</v>
      </c>
      <c r="W15" s="3" t="s">
        <v>112</v>
      </c>
      <c r="X15" s="2"/>
      <c r="Y15" s="4"/>
      <c r="Z15" s="4"/>
      <c r="AA15" s="14" t="s">
        <v>48</v>
      </c>
      <c r="AB15" s="14" t="s">
        <v>49</v>
      </c>
      <c r="AC15" s="14" t="s">
        <v>50</v>
      </c>
    </row>
    <row r="16" spans="1:29" ht="72" customHeight="1" x14ac:dyDescent="0.25">
      <c r="A16" s="2" t="s">
        <v>30</v>
      </c>
      <c r="B16" s="2" t="s">
        <v>31</v>
      </c>
      <c r="C16" s="2" t="s">
        <v>32</v>
      </c>
      <c r="D16" s="2" t="s">
        <v>33</v>
      </c>
      <c r="E16" s="2" t="s">
        <v>33</v>
      </c>
      <c r="F16" s="2" t="s">
        <v>34</v>
      </c>
      <c r="G16" s="2" t="s">
        <v>116</v>
      </c>
      <c r="H16" s="3" t="s">
        <v>117</v>
      </c>
      <c r="I16" s="4" t="s">
        <v>37</v>
      </c>
      <c r="J16" s="4" t="s">
        <v>38</v>
      </c>
      <c r="K16" s="4" t="s">
        <v>39</v>
      </c>
      <c r="L16" s="2" t="s">
        <v>116</v>
      </c>
      <c r="M16" s="2" t="s">
        <v>118</v>
      </c>
      <c r="N16" s="4" t="s">
        <v>54</v>
      </c>
      <c r="O16" s="4" t="s">
        <v>42</v>
      </c>
      <c r="P16" s="2" t="s">
        <v>43</v>
      </c>
      <c r="Q16" s="2" t="s">
        <v>119</v>
      </c>
      <c r="R16" s="2" t="s">
        <v>118</v>
      </c>
      <c r="S16" s="2" t="s">
        <v>120</v>
      </c>
      <c r="T16" s="2" t="s">
        <v>118</v>
      </c>
      <c r="U16" s="2" t="s">
        <v>927</v>
      </c>
      <c r="V16" s="4" t="s">
        <v>927</v>
      </c>
      <c r="W16" s="3" t="s">
        <v>117</v>
      </c>
      <c r="X16" s="2" t="s">
        <v>1069</v>
      </c>
      <c r="Y16" s="4"/>
      <c r="Z16" s="4" t="s">
        <v>41</v>
      </c>
      <c r="AA16" s="14" t="s">
        <v>48</v>
      </c>
      <c r="AB16" s="14" t="s">
        <v>49</v>
      </c>
      <c r="AC16" s="14" t="s">
        <v>50</v>
      </c>
    </row>
    <row r="17" spans="1:29" ht="72" customHeight="1" x14ac:dyDescent="0.25">
      <c r="A17" s="2" t="s">
        <v>30</v>
      </c>
      <c r="B17" s="2" t="s">
        <v>31</v>
      </c>
      <c r="C17" s="2" t="s">
        <v>32</v>
      </c>
      <c r="D17" s="2" t="s">
        <v>33</v>
      </c>
      <c r="E17" s="2" t="s">
        <v>33</v>
      </c>
      <c r="F17" s="2" t="s">
        <v>34</v>
      </c>
      <c r="G17" s="2" t="s">
        <v>121</v>
      </c>
      <c r="H17" s="3" t="s">
        <v>122</v>
      </c>
      <c r="I17" s="4" t="s">
        <v>37</v>
      </c>
      <c r="J17" s="4" t="s">
        <v>38</v>
      </c>
      <c r="K17" s="4" t="s">
        <v>39</v>
      </c>
      <c r="L17" s="2" t="s">
        <v>121</v>
      </c>
      <c r="M17" s="2" t="s">
        <v>123</v>
      </c>
      <c r="N17" s="4" t="s">
        <v>54</v>
      </c>
      <c r="O17" s="4" t="s">
        <v>55</v>
      </c>
      <c r="P17" s="2" t="s">
        <v>43</v>
      </c>
      <c r="Q17" s="2" t="s">
        <v>124</v>
      </c>
      <c r="R17" s="2" t="s">
        <v>123</v>
      </c>
      <c r="S17" s="2" t="s">
        <v>125</v>
      </c>
      <c r="T17" s="2" t="s">
        <v>123</v>
      </c>
      <c r="U17" s="2" t="s">
        <v>925</v>
      </c>
      <c r="V17" s="4" t="s">
        <v>925</v>
      </c>
      <c r="W17" s="3" t="s">
        <v>122</v>
      </c>
      <c r="X17" s="2" t="s">
        <v>126</v>
      </c>
      <c r="Y17" s="4"/>
      <c r="Z17" s="4"/>
      <c r="AA17" s="14" t="s">
        <v>48</v>
      </c>
      <c r="AB17" s="14" t="s">
        <v>49</v>
      </c>
      <c r="AC17" s="14" t="s">
        <v>50</v>
      </c>
    </row>
    <row r="18" spans="1:29" ht="72" customHeight="1" x14ac:dyDescent="0.25">
      <c r="A18" s="2" t="s">
        <v>30</v>
      </c>
      <c r="B18" s="2" t="s">
        <v>31</v>
      </c>
      <c r="C18" s="2" t="s">
        <v>32</v>
      </c>
      <c r="D18" s="2" t="s">
        <v>33</v>
      </c>
      <c r="E18" s="2" t="s">
        <v>33</v>
      </c>
      <c r="F18" s="2" t="s">
        <v>34</v>
      </c>
      <c r="G18" s="2" t="s">
        <v>127</v>
      </c>
      <c r="H18" s="3" t="s">
        <v>128</v>
      </c>
      <c r="I18" s="4" t="s">
        <v>37</v>
      </c>
      <c r="J18" s="4" t="s">
        <v>38</v>
      </c>
      <c r="K18" s="4" t="s">
        <v>39</v>
      </c>
      <c r="L18" s="2" t="s">
        <v>127</v>
      </c>
      <c r="M18" s="2" t="s">
        <v>129</v>
      </c>
      <c r="N18" s="4" t="s">
        <v>61</v>
      </c>
      <c r="O18" s="4" t="s">
        <v>42</v>
      </c>
      <c r="P18" s="2" t="s">
        <v>43</v>
      </c>
      <c r="Q18" s="2" t="s">
        <v>130</v>
      </c>
      <c r="R18" s="2" t="s">
        <v>129</v>
      </c>
      <c r="S18" s="2" t="s">
        <v>131</v>
      </c>
      <c r="T18" s="2" t="s">
        <v>129</v>
      </c>
      <c r="U18" s="2" t="s">
        <v>925</v>
      </c>
      <c r="V18" s="4" t="s">
        <v>925</v>
      </c>
      <c r="W18" s="3" t="s">
        <v>128</v>
      </c>
      <c r="X18" s="2"/>
      <c r="Y18" s="4"/>
      <c r="Z18" s="4"/>
      <c r="AA18" s="14" t="s">
        <v>48</v>
      </c>
      <c r="AB18" s="14" t="s">
        <v>49</v>
      </c>
      <c r="AC18" s="14" t="s">
        <v>50</v>
      </c>
    </row>
    <row r="19" spans="1:29" ht="72" customHeight="1" x14ac:dyDescent="0.25">
      <c r="A19" s="2" t="s">
        <v>30</v>
      </c>
      <c r="B19" s="2" t="s">
        <v>31</v>
      </c>
      <c r="C19" s="2" t="s">
        <v>32</v>
      </c>
      <c r="D19" s="2" t="s">
        <v>33</v>
      </c>
      <c r="E19" s="2" t="s">
        <v>33</v>
      </c>
      <c r="F19" s="2" t="s">
        <v>34</v>
      </c>
      <c r="G19" s="2" t="s">
        <v>132</v>
      </c>
      <c r="H19" s="3" t="s">
        <v>133</v>
      </c>
      <c r="I19" s="4" t="s">
        <v>37</v>
      </c>
      <c r="J19" s="4" t="s">
        <v>38</v>
      </c>
      <c r="K19" s="4" t="s">
        <v>39</v>
      </c>
      <c r="L19" s="2" t="s">
        <v>132</v>
      </c>
      <c r="M19" s="2" t="s">
        <v>134</v>
      </c>
      <c r="N19" s="4" t="s">
        <v>54</v>
      </c>
      <c r="O19" s="4" t="s">
        <v>55</v>
      </c>
      <c r="P19" s="2" t="s">
        <v>43</v>
      </c>
      <c r="Q19" s="2" t="s">
        <v>135</v>
      </c>
      <c r="R19" s="2" t="s">
        <v>134</v>
      </c>
      <c r="S19" s="2" t="s">
        <v>136</v>
      </c>
      <c r="T19" s="2" t="s">
        <v>134</v>
      </c>
      <c r="U19" s="2" t="s">
        <v>925</v>
      </c>
      <c r="V19" s="4" t="s">
        <v>925</v>
      </c>
      <c r="W19" s="3" t="s">
        <v>133</v>
      </c>
      <c r="X19" s="2" t="s">
        <v>137</v>
      </c>
      <c r="Y19" s="4"/>
      <c r="Z19" s="4"/>
      <c r="AA19" s="14" t="s">
        <v>48</v>
      </c>
      <c r="AB19" s="14" t="s">
        <v>49</v>
      </c>
      <c r="AC19" s="14" t="s">
        <v>50</v>
      </c>
    </row>
    <row r="20" spans="1:29" ht="72" customHeight="1" x14ac:dyDescent="0.25">
      <c r="A20" s="2" t="s">
        <v>30</v>
      </c>
      <c r="B20" s="2" t="s">
        <v>31</v>
      </c>
      <c r="C20" s="2" t="s">
        <v>32</v>
      </c>
      <c r="D20" s="2" t="s">
        <v>33</v>
      </c>
      <c r="E20" s="2" t="s">
        <v>33</v>
      </c>
      <c r="F20" s="2" t="s">
        <v>34</v>
      </c>
      <c r="G20" s="2" t="s">
        <v>138</v>
      </c>
      <c r="H20" s="3" t="s">
        <v>139</v>
      </c>
      <c r="I20" s="4" t="s">
        <v>37</v>
      </c>
      <c r="J20" s="4" t="s">
        <v>38</v>
      </c>
      <c r="K20" s="4" t="s">
        <v>39</v>
      </c>
      <c r="L20" s="2" t="s">
        <v>138</v>
      </c>
      <c r="M20" s="2" t="s">
        <v>140</v>
      </c>
      <c r="N20" s="4" t="s">
        <v>54</v>
      </c>
      <c r="O20" s="4" t="s">
        <v>55</v>
      </c>
      <c r="P20" s="2" t="s">
        <v>43</v>
      </c>
      <c r="Q20" s="2" t="s">
        <v>141</v>
      </c>
      <c r="R20" s="2" t="s">
        <v>140</v>
      </c>
      <c r="S20" s="2" t="s">
        <v>142</v>
      </c>
      <c r="T20" s="2" t="s">
        <v>140</v>
      </c>
      <c r="U20" s="2" t="s">
        <v>925</v>
      </c>
      <c r="V20" s="4" t="s">
        <v>925</v>
      </c>
      <c r="W20" s="3" t="s">
        <v>139</v>
      </c>
      <c r="X20" s="2" t="s">
        <v>143</v>
      </c>
      <c r="Y20" s="4"/>
      <c r="Z20" s="4"/>
      <c r="AA20" s="14" t="s">
        <v>48</v>
      </c>
      <c r="AB20" s="14" t="s">
        <v>49</v>
      </c>
      <c r="AC20" s="14" t="s">
        <v>50</v>
      </c>
    </row>
    <row r="21" spans="1:29" ht="72" customHeight="1" x14ac:dyDescent="0.25">
      <c r="A21" s="2" t="s">
        <v>30</v>
      </c>
      <c r="B21" s="2" t="s">
        <v>31</v>
      </c>
      <c r="C21" s="2" t="s">
        <v>32</v>
      </c>
      <c r="D21" s="2" t="s">
        <v>144</v>
      </c>
      <c r="E21" s="2" t="s">
        <v>144</v>
      </c>
      <c r="F21" s="2" t="s">
        <v>145</v>
      </c>
      <c r="G21" s="2" t="s">
        <v>146</v>
      </c>
      <c r="H21" s="3" t="s">
        <v>147</v>
      </c>
      <c r="I21" s="4" t="s">
        <v>37</v>
      </c>
      <c r="J21" s="4" t="s">
        <v>148</v>
      </c>
      <c r="K21" s="4" t="s">
        <v>149</v>
      </c>
      <c r="L21" s="2" t="s">
        <v>146</v>
      </c>
      <c r="M21" s="2" t="s">
        <v>150</v>
      </c>
      <c r="N21" s="4" t="s">
        <v>41</v>
      </c>
      <c r="O21" s="4" t="s">
        <v>42</v>
      </c>
      <c r="P21" s="2" t="s">
        <v>151</v>
      </c>
      <c r="Q21" s="2" t="s">
        <v>152</v>
      </c>
      <c r="R21" s="2" t="s">
        <v>150</v>
      </c>
      <c r="S21" s="2" t="s">
        <v>153</v>
      </c>
      <c r="T21" s="2" t="s">
        <v>150</v>
      </c>
      <c r="U21" s="2" t="s">
        <v>925</v>
      </c>
      <c r="V21" s="4" t="s">
        <v>925</v>
      </c>
      <c r="W21" s="3" t="s">
        <v>147</v>
      </c>
      <c r="X21" s="2"/>
      <c r="Y21" s="4"/>
      <c r="Z21" s="4"/>
      <c r="AA21" s="14" t="s">
        <v>48</v>
      </c>
      <c r="AB21" s="14" t="s">
        <v>49</v>
      </c>
      <c r="AC21" s="14" t="s">
        <v>50</v>
      </c>
    </row>
    <row r="22" spans="1:29" ht="72" customHeight="1" x14ac:dyDescent="0.25">
      <c r="A22" s="2" t="s">
        <v>30</v>
      </c>
      <c r="B22" s="2" t="s">
        <v>31</v>
      </c>
      <c r="C22" s="2" t="s">
        <v>32</v>
      </c>
      <c r="D22" s="2" t="s">
        <v>144</v>
      </c>
      <c r="E22" s="2" t="s">
        <v>144</v>
      </c>
      <c r="F22" s="2" t="s">
        <v>145</v>
      </c>
      <c r="G22" s="2" t="s">
        <v>154</v>
      </c>
      <c r="H22" s="3" t="s">
        <v>155</v>
      </c>
      <c r="I22" s="4" t="s">
        <v>37</v>
      </c>
      <c r="J22" s="4" t="s">
        <v>148</v>
      </c>
      <c r="K22" s="4" t="s">
        <v>149</v>
      </c>
      <c r="L22" s="2" t="s">
        <v>154</v>
      </c>
      <c r="M22" s="2" t="s">
        <v>156</v>
      </c>
      <c r="N22" s="4" t="s">
        <v>54</v>
      </c>
      <c r="O22" s="4" t="s">
        <v>42</v>
      </c>
      <c r="P22" s="2" t="s">
        <v>151</v>
      </c>
      <c r="Q22" s="2" t="s">
        <v>157</v>
      </c>
      <c r="R22" s="2" t="s">
        <v>156</v>
      </c>
      <c r="S22" s="2" t="s">
        <v>158</v>
      </c>
      <c r="T22" s="2" t="s">
        <v>156</v>
      </c>
      <c r="U22" s="2" t="s">
        <v>925</v>
      </c>
      <c r="V22" s="4" t="s">
        <v>925</v>
      </c>
      <c r="W22" s="3" t="s">
        <v>155</v>
      </c>
      <c r="X22" s="2"/>
      <c r="Y22" s="4"/>
      <c r="Z22" s="4"/>
      <c r="AA22" s="14" t="s">
        <v>48</v>
      </c>
      <c r="AB22" s="14" t="s">
        <v>49</v>
      </c>
      <c r="AC22" s="14" t="s">
        <v>50</v>
      </c>
    </row>
    <row r="23" spans="1:29" ht="72" customHeight="1" x14ac:dyDescent="0.25">
      <c r="A23" s="2" t="s">
        <v>30</v>
      </c>
      <c r="B23" s="2" t="s">
        <v>31</v>
      </c>
      <c r="C23" s="2" t="s">
        <v>32</v>
      </c>
      <c r="D23" s="2" t="s">
        <v>144</v>
      </c>
      <c r="E23" s="2" t="s">
        <v>144</v>
      </c>
      <c r="F23" s="2" t="s">
        <v>145</v>
      </c>
      <c r="G23" s="2" t="s">
        <v>159</v>
      </c>
      <c r="H23" s="3" t="s">
        <v>160</v>
      </c>
      <c r="I23" s="4" t="s">
        <v>37</v>
      </c>
      <c r="J23" s="4" t="s">
        <v>148</v>
      </c>
      <c r="K23" s="4" t="s">
        <v>149</v>
      </c>
      <c r="L23" s="2" t="s">
        <v>159</v>
      </c>
      <c r="M23" s="2" t="s">
        <v>161</v>
      </c>
      <c r="N23" s="4" t="s">
        <v>41</v>
      </c>
      <c r="O23" s="4" t="s">
        <v>42</v>
      </c>
      <c r="P23" s="2" t="s">
        <v>151</v>
      </c>
      <c r="Q23" s="2" t="s">
        <v>162</v>
      </c>
      <c r="R23" s="2" t="s">
        <v>161</v>
      </c>
      <c r="S23" s="2" t="s">
        <v>163</v>
      </c>
      <c r="T23" s="2" t="s">
        <v>161</v>
      </c>
      <c r="U23" s="2" t="s">
        <v>925</v>
      </c>
      <c r="V23" s="4" t="s">
        <v>925</v>
      </c>
      <c r="W23" s="3" t="s">
        <v>160</v>
      </c>
      <c r="X23" s="2"/>
      <c r="Y23" s="4"/>
      <c r="Z23" s="4"/>
      <c r="AA23" s="14" t="s">
        <v>48</v>
      </c>
      <c r="AB23" s="14" t="s">
        <v>49</v>
      </c>
      <c r="AC23" s="14" t="s">
        <v>50</v>
      </c>
    </row>
    <row r="24" spans="1:29" ht="72" customHeight="1" x14ac:dyDescent="0.25">
      <c r="A24" s="2" t="s">
        <v>30</v>
      </c>
      <c r="B24" s="2" t="s">
        <v>31</v>
      </c>
      <c r="C24" s="2" t="s">
        <v>32</v>
      </c>
      <c r="D24" s="2" t="s">
        <v>144</v>
      </c>
      <c r="E24" s="2" t="s">
        <v>144</v>
      </c>
      <c r="F24" s="2" t="s">
        <v>145</v>
      </c>
      <c r="G24" s="2" t="s">
        <v>164</v>
      </c>
      <c r="H24" s="3" t="s">
        <v>165</v>
      </c>
      <c r="I24" s="4" t="s">
        <v>37</v>
      </c>
      <c r="J24" s="4" t="s">
        <v>148</v>
      </c>
      <c r="K24" s="4" t="s">
        <v>149</v>
      </c>
      <c r="L24" s="2" t="s">
        <v>164</v>
      </c>
      <c r="M24" s="2" t="s">
        <v>166</v>
      </c>
      <c r="N24" s="4" t="s">
        <v>41</v>
      </c>
      <c r="O24" s="4" t="s">
        <v>103</v>
      </c>
      <c r="P24" s="2" t="s">
        <v>151</v>
      </c>
      <c r="Q24" s="2" t="s">
        <v>167</v>
      </c>
      <c r="R24" s="2" t="s">
        <v>166</v>
      </c>
      <c r="S24" s="2" t="s">
        <v>168</v>
      </c>
      <c r="T24" s="2" t="s">
        <v>166</v>
      </c>
      <c r="U24" s="2" t="s">
        <v>925</v>
      </c>
      <c r="V24" s="4" t="s">
        <v>925</v>
      </c>
      <c r="W24" s="3" t="s">
        <v>165</v>
      </c>
      <c r="X24" s="2"/>
      <c r="Y24" s="4"/>
      <c r="Z24" s="4"/>
      <c r="AA24" s="14" t="s">
        <v>48</v>
      </c>
      <c r="AB24" s="14" t="s">
        <v>49</v>
      </c>
      <c r="AC24" s="14" t="s">
        <v>50</v>
      </c>
    </row>
    <row r="25" spans="1:29" ht="72" customHeight="1" x14ac:dyDescent="0.25">
      <c r="A25" s="2" t="s">
        <v>30</v>
      </c>
      <c r="B25" s="2" t="s">
        <v>31</v>
      </c>
      <c r="C25" s="2" t="s">
        <v>32</v>
      </c>
      <c r="D25" s="2" t="s">
        <v>144</v>
      </c>
      <c r="E25" s="2" t="s">
        <v>144</v>
      </c>
      <c r="F25" s="2" t="s">
        <v>145</v>
      </c>
      <c r="G25" s="2" t="s">
        <v>169</v>
      </c>
      <c r="H25" s="3" t="s">
        <v>170</v>
      </c>
      <c r="I25" s="4" t="s">
        <v>37</v>
      </c>
      <c r="J25" s="4" t="s">
        <v>148</v>
      </c>
      <c r="K25" s="4" t="s">
        <v>149</v>
      </c>
      <c r="L25" s="2" t="s">
        <v>169</v>
      </c>
      <c r="M25" s="2" t="s">
        <v>171</v>
      </c>
      <c r="N25" s="4" t="s">
        <v>41</v>
      </c>
      <c r="O25" s="4" t="s">
        <v>172</v>
      </c>
      <c r="P25" s="2" t="s">
        <v>151</v>
      </c>
      <c r="Q25" s="2" t="s">
        <v>173</v>
      </c>
      <c r="R25" s="2" t="s">
        <v>171</v>
      </c>
      <c r="S25" s="2" t="s">
        <v>174</v>
      </c>
      <c r="T25" s="2" t="s">
        <v>171</v>
      </c>
      <c r="U25" s="2" t="s">
        <v>925</v>
      </c>
      <c r="V25" s="4" t="s">
        <v>925</v>
      </c>
      <c r="W25" s="3" t="s">
        <v>170</v>
      </c>
      <c r="X25" s="2"/>
      <c r="Y25" s="4"/>
      <c r="Z25" s="4"/>
      <c r="AA25" s="14" t="s">
        <v>48</v>
      </c>
      <c r="AB25" s="14" t="s">
        <v>49</v>
      </c>
      <c r="AC25" s="14" t="s">
        <v>50</v>
      </c>
    </row>
    <row r="26" spans="1:29" ht="72" customHeight="1" x14ac:dyDescent="0.25">
      <c r="A26" s="2" t="s">
        <v>30</v>
      </c>
      <c r="B26" s="2" t="s">
        <v>31</v>
      </c>
      <c r="C26" s="2" t="s">
        <v>32</v>
      </c>
      <c r="D26" s="2" t="s">
        <v>144</v>
      </c>
      <c r="E26" s="2" t="s">
        <v>144</v>
      </c>
      <c r="F26" s="2" t="s">
        <v>145</v>
      </c>
      <c r="G26" s="2" t="s">
        <v>175</v>
      </c>
      <c r="H26" s="3" t="s">
        <v>176</v>
      </c>
      <c r="I26" s="4" t="s">
        <v>37</v>
      </c>
      <c r="J26" s="4" t="s">
        <v>148</v>
      </c>
      <c r="K26" s="4" t="s">
        <v>149</v>
      </c>
      <c r="L26" s="2" t="s">
        <v>175</v>
      </c>
      <c r="M26" s="2" t="s">
        <v>177</v>
      </c>
      <c r="N26" s="4" t="s">
        <v>41</v>
      </c>
      <c r="O26" s="4" t="s">
        <v>103</v>
      </c>
      <c r="P26" s="2" t="s">
        <v>151</v>
      </c>
      <c r="Q26" s="2" t="s">
        <v>178</v>
      </c>
      <c r="R26" s="2" t="s">
        <v>177</v>
      </c>
      <c r="S26" s="2" t="s">
        <v>179</v>
      </c>
      <c r="T26" s="2" t="s">
        <v>177</v>
      </c>
      <c r="U26" s="2" t="s">
        <v>925</v>
      </c>
      <c r="V26" s="4" t="s">
        <v>925</v>
      </c>
      <c r="W26" s="3" t="s">
        <v>176</v>
      </c>
      <c r="X26" s="2"/>
      <c r="Y26" s="4"/>
      <c r="Z26" s="4"/>
      <c r="AA26" s="14" t="s">
        <v>48</v>
      </c>
      <c r="AB26" s="14" t="s">
        <v>49</v>
      </c>
      <c r="AC26" s="14" t="s">
        <v>50</v>
      </c>
    </row>
    <row r="27" spans="1:29" ht="72" customHeight="1" x14ac:dyDescent="0.25">
      <c r="A27" s="2" t="s">
        <v>30</v>
      </c>
      <c r="B27" s="2" t="s">
        <v>31</v>
      </c>
      <c r="C27" s="2" t="s">
        <v>32</v>
      </c>
      <c r="D27" s="2" t="s">
        <v>144</v>
      </c>
      <c r="E27" s="2" t="s">
        <v>144</v>
      </c>
      <c r="F27" s="2" t="s">
        <v>145</v>
      </c>
      <c r="G27" s="2" t="s">
        <v>1071</v>
      </c>
      <c r="H27" s="3" t="s">
        <v>181</v>
      </c>
      <c r="I27" s="4" t="s">
        <v>37</v>
      </c>
      <c r="J27" s="4" t="s">
        <v>148</v>
      </c>
      <c r="K27" s="4" t="s">
        <v>149</v>
      </c>
      <c r="L27" s="2" t="s">
        <v>180</v>
      </c>
      <c r="M27" s="2" t="s">
        <v>182</v>
      </c>
      <c r="N27" s="4" t="s">
        <v>41</v>
      </c>
      <c r="O27" s="4" t="s">
        <v>172</v>
      </c>
      <c r="P27" s="2" t="s">
        <v>151</v>
      </c>
      <c r="Q27" s="2" t="s">
        <v>183</v>
      </c>
      <c r="R27" s="2" t="s">
        <v>182</v>
      </c>
      <c r="S27" s="2" t="s">
        <v>184</v>
      </c>
      <c r="T27" s="2" t="s">
        <v>182</v>
      </c>
      <c r="U27" s="2" t="s">
        <v>925</v>
      </c>
      <c r="V27" s="4" t="s">
        <v>925</v>
      </c>
      <c r="W27" s="3" t="s">
        <v>181</v>
      </c>
      <c r="X27" s="2"/>
      <c r="Y27" s="4"/>
      <c r="Z27" s="4"/>
      <c r="AA27" s="14" t="s">
        <v>48</v>
      </c>
      <c r="AB27" s="14" t="s">
        <v>49</v>
      </c>
      <c r="AC27" s="14" t="s">
        <v>50</v>
      </c>
    </row>
    <row r="28" spans="1:29" ht="72" customHeight="1" x14ac:dyDescent="0.25">
      <c r="A28" s="2" t="s">
        <v>30</v>
      </c>
      <c r="B28" s="2" t="s">
        <v>31</v>
      </c>
      <c r="C28" s="2" t="s">
        <v>32</v>
      </c>
      <c r="D28" s="2" t="s">
        <v>144</v>
      </c>
      <c r="E28" s="2" t="s">
        <v>144</v>
      </c>
      <c r="F28" s="2" t="s">
        <v>145</v>
      </c>
      <c r="G28" s="2" t="s">
        <v>185</v>
      </c>
      <c r="H28" s="3" t="s">
        <v>186</v>
      </c>
      <c r="I28" s="4" t="s">
        <v>37</v>
      </c>
      <c r="J28" s="4" t="s">
        <v>148</v>
      </c>
      <c r="K28" s="4" t="s">
        <v>149</v>
      </c>
      <c r="L28" s="2" t="s">
        <v>185</v>
      </c>
      <c r="M28" s="2" t="s">
        <v>187</v>
      </c>
      <c r="N28" s="4" t="s">
        <v>41</v>
      </c>
      <c r="O28" s="4" t="s">
        <v>172</v>
      </c>
      <c r="P28" s="2" t="s">
        <v>151</v>
      </c>
      <c r="Q28" s="2" t="s">
        <v>188</v>
      </c>
      <c r="R28" s="2" t="s">
        <v>187</v>
      </c>
      <c r="S28" s="2" t="s">
        <v>189</v>
      </c>
      <c r="T28" s="2" t="s">
        <v>187</v>
      </c>
      <c r="U28" s="2" t="s">
        <v>925</v>
      </c>
      <c r="V28" s="4" t="s">
        <v>925</v>
      </c>
      <c r="W28" s="3" t="s">
        <v>186</v>
      </c>
      <c r="X28" s="2"/>
      <c r="Y28" s="4"/>
      <c r="Z28" s="4"/>
      <c r="AA28" s="14" t="s">
        <v>48</v>
      </c>
      <c r="AB28" s="14" t="s">
        <v>49</v>
      </c>
      <c r="AC28" s="14" t="s">
        <v>50</v>
      </c>
    </row>
    <row r="29" spans="1:29" ht="72" customHeight="1" x14ac:dyDescent="0.25">
      <c r="A29" s="2" t="s">
        <v>30</v>
      </c>
      <c r="B29" s="2" t="s">
        <v>31</v>
      </c>
      <c r="C29" s="2" t="s">
        <v>32</v>
      </c>
      <c r="D29" s="2" t="s">
        <v>144</v>
      </c>
      <c r="E29" s="2" t="s">
        <v>144</v>
      </c>
      <c r="F29" s="2" t="s">
        <v>145</v>
      </c>
      <c r="G29" s="2" t="s">
        <v>190</v>
      </c>
      <c r="H29" s="3" t="s">
        <v>191</v>
      </c>
      <c r="I29" s="4" t="s">
        <v>37</v>
      </c>
      <c r="J29" s="4" t="s">
        <v>148</v>
      </c>
      <c r="K29" s="4" t="s">
        <v>149</v>
      </c>
      <c r="L29" s="2" t="s">
        <v>190</v>
      </c>
      <c r="M29" s="2" t="s">
        <v>192</v>
      </c>
      <c r="N29" s="4" t="s">
        <v>54</v>
      </c>
      <c r="O29" s="4" t="s">
        <v>42</v>
      </c>
      <c r="P29" s="2" t="s">
        <v>151</v>
      </c>
      <c r="Q29" s="2" t="s">
        <v>193</v>
      </c>
      <c r="R29" s="2" t="s">
        <v>192</v>
      </c>
      <c r="S29" s="2" t="s">
        <v>194</v>
      </c>
      <c r="T29" s="2" t="s">
        <v>192</v>
      </c>
      <c r="U29" s="2" t="s">
        <v>925</v>
      </c>
      <c r="V29" s="4" t="s">
        <v>925</v>
      </c>
      <c r="W29" s="3" t="s">
        <v>191</v>
      </c>
      <c r="X29" s="2"/>
      <c r="Y29" s="4"/>
      <c r="Z29" s="4"/>
      <c r="AA29" s="14" t="s">
        <v>48</v>
      </c>
      <c r="AB29" s="14" t="s">
        <v>49</v>
      </c>
      <c r="AC29" s="14" t="s">
        <v>50</v>
      </c>
    </row>
    <row r="30" spans="1:29" ht="72" customHeight="1" x14ac:dyDescent="0.25">
      <c r="A30" s="2" t="s">
        <v>30</v>
      </c>
      <c r="B30" s="2" t="s">
        <v>31</v>
      </c>
      <c r="C30" s="2" t="s">
        <v>32</v>
      </c>
      <c r="D30" s="2" t="s">
        <v>144</v>
      </c>
      <c r="E30" s="2" t="s">
        <v>144</v>
      </c>
      <c r="F30" s="2" t="s">
        <v>145</v>
      </c>
      <c r="G30" s="2" t="s">
        <v>195</v>
      </c>
      <c r="H30" s="3" t="s">
        <v>196</v>
      </c>
      <c r="I30" s="4" t="s">
        <v>37</v>
      </c>
      <c r="J30" s="4" t="s">
        <v>148</v>
      </c>
      <c r="K30" s="4" t="s">
        <v>149</v>
      </c>
      <c r="L30" s="2" t="s">
        <v>195</v>
      </c>
      <c r="M30" s="2" t="s">
        <v>197</v>
      </c>
      <c r="N30" s="4" t="s">
        <v>54</v>
      </c>
      <c r="O30" s="4" t="s">
        <v>103</v>
      </c>
      <c r="P30" s="2" t="s">
        <v>151</v>
      </c>
      <c r="Q30" s="2" t="s">
        <v>198</v>
      </c>
      <c r="R30" s="2" t="s">
        <v>197</v>
      </c>
      <c r="S30" s="2" t="s">
        <v>199</v>
      </c>
      <c r="T30" s="2" t="s">
        <v>197</v>
      </c>
      <c r="U30" s="2" t="s">
        <v>925</v>
      </c>
      <c r="V30" s="4" t="s">
        <v>925</v>
      </c>
      <c r="W30" s="3" t="s">
        <v>196</v>
      </c>
      <c r="X30" s="2"/>
      <c r="Y30" s="4"/>
      <c r="Z30" s="4"/>
      <c r="AA30" s="14" t="s">
        <v>48</v>
      </c>
      <c r="AB30" s="14" t="s">
        <v>49</v>
      </c>
      <c r="AC30" s="14" t="s">
        <v>50</v>
      </c>
    </row>
    <row r="31" spans="1:29" ht="72" customHeight="1" x14ac:dyDescent="0.25">
      <c r="A31" s="2" t="s">
        <v>30</v>
      </c>
      <c r="B31" s="2" t="s">
        <v>31</v>
      </c>
      <c r="C31" s="2" t="s">
        <v>32</v>
      </c>
      <c r="D31" s="2" t="s">
        <v>144</v>
      </c>
      <c r="E31" s="2" t="s">
        <v>144</v>
      </c>
      <c r="F31" s="2" t="s">
        <v>145</v>
      </c>
      <c r="G31" s="2" t="s">
        <v>200</v>
      </c>
      <c r="H31" s="3" t="s">
        <v>201</v>
      </c>
      <c r="I31" s="4" t="s">
        <v>37</v>
      </c>
      <c r="J31" s="4" t="s">
        <v>148</v>
      </c>
      <c r="K31" s="4" t="s">
        <v>149</v>
      </c>
      <c r="L31" s="2" t="s">
        <v>200</v>
      </c>
      <c r="M31" s="2" t="s">
        <v>202</v>
      </c>
      <c r="N31" s="4" t="s">
        <v>41</v>
      </c>
      <c r="O31" s="4" t="s">
        <v>55</v>
      </c>
      <c r="P31" s="2" t="s">
        <v>151</v>
      </c>
      <c r="Q31" s="2" t="s">
        <v>203</v>
      </c>
      <c r="R31" s="2" t="s">
        <v>202</v>
      </c>
      <c r="S31" s="2" t="s">
        <v>204</v>
      </c>
      <c r="T31" s="2" t="s">
        <v>202</v>
      </c>
      <c r="U31" s="2" t="s">
        <v>925</v>
      </c>
      <c r="V31" s="4" t="s">
        <v>925</v>
      </c>
      <c r="W31" s="3" t="s">
        <v>201</v>
      </c>
      <c r="X31" s="2"/>
      <c r="Y31" s="4"/>
      <c r="Z31" s="4"/>
      <c r="AA31" s="14" t="s">
        <v>48</v>
      </c>
      <c r="AB31" s="14" t="s">
        <v>49</v>
      </c>
      <c r="AC31" s="14" t="s">
        <v>50</v>
      </c>
    </row>
    <row r="32" spans="1:29" ht="72" customHeight="1" x14ac:dyDescent="0.25">
      <c r="A32" s="2" t="s">
        <v>30</v>
      </c>
      <c r="B32" s="2" t="s">
        <v>31</v>
      </c>
      <c r="C32" s="2" t="s">
        <v>32</v>
      </c>
      <c r="D32" s="2" t="s">
        <v>144</v>
      </c>
      <c r="E32" s="2" t="s">
        <v>144</v>
      </c>
      <c r="F32" s="2" t="s">
        <v>145</v>
      </c>
      <c r="G32" s="2" t="s">
        <v>205</v>
      </c>
      <c r="H32" s="3" t="s">
        <v>206</v>
      </c>
      <c r="I32" s="4" t="s">
        <v>37</v>
      </c>
      <c r="J32" s="4" t="s">
        <v>148</v>
      </c>
      <c r="K32" s="4" t="s">
        <v>149</v>
      </c>
      <c r="L32" s="2" t="s">
        <v>205</v>
      </c>
      <c r="M32" s="2" t="s">
        <v>207</v>
      </c>
      <c r="N32" s="4" t="s">
        <v>54</v>
      </c>
      <c r="O32" s="4" t="s">
        <v>55</v>
      </c>
      <c r="P32" s="2" t="s">
        <v>151</v>
      </c>
      <c r="Q32" s="2" t="s">
        <v>208</v>
      </c>
      <c r="R32" s="2" t="s">
        <v>207</v>
      </c>
      <c r="S32" s="2" t="s">
        <v>209</v>
      </c>
      <c r="T32" s="2" t="s">
        <v>207</v>
      </c>
      <c r="U32" s="2" t="s">
        <v>925</v>
      </c>
      <c r="V32" s="4" t="s">
        <v>925</v>
      </c>
      <c r="W32" s="3" t="s">
        <v>206</v>
      </c>
      <c r="X32" s="2"/>
      <c r="Y32" s="4"/>
      <c r="Z32" s="4"/>
      <c r="AA32" s="14" t="s">
        <v>48</v>
      </c>
      <c r="AB32" s="14" t="s">
        <v>49</v>
      </c>
      <c r="AC32" s="14" t="s">
        <v>50</v>
      </c>
    </row>
    <row r="33" spans="1:29" ht="72" customHeight="1" x14ac:dyDescent="0.25">
      <c r="A33" s="2" t="s">
        <v>30</v>
      </c>
      <c r="B33" s="2" t="s">
        <v>31</v>
      </c>
      <c r="C33" s="2" t="s">
        <v>32</v>
      </c>
      <c r="D33" s="2" t="s">
        <v>144</v>
      </c>
      <c r="E33" s="2" t="s">
        <v>144</v>
      </c>
      <c r="F33" s="2" t="s">
        <v>145</v>
      </c>
      <c r="G33" s="2" t="s">
        <v>210</v>
      </c>
      <c r="H33" s="3" t="s">
        <v>211</v>
      </c>
      <c r="I33" s="4" t="s">
        <v>37</v>
      </c>
      <c r="J33" s="4" t="s">
        <v>148</v>
      </c>
      <c r="K33" s="4" t="s">
        <v>149</v>
      </c>
      <c r="L33" s="2" t="s">
        <v>210</v>
      </c>
      <c r="M33" s="2" t="s">
        <v>212</v>
      </c>
      <c r="N33" s="4" t="s">
        <v>41</v>
      </c>
      <c r="O33" s="4" t="s">
        <v>42</v>
      </c>
      <c r="P33" s="2" t="s">
        <v>151</v>
      </c>
      <c r="Q33" s="2" t="s">
        <v>213</v>
      </c>
      <c r="R33" s="2" t="s">
        <v>212</v>
      </c>
      <c r="S33" s="2" t="s">
        <v>214</v>
      </c>
      <c r="T33" s="2" t="s">
        <v>212</v>
      </c>
      <c r="U33" s="2" t="s">
        <v>925</v>
      </c>
      <c r="V33" s="4" t="s">
        <v>925</v>
      </c>
      <c r="W33" s="3" t="s">
        <v>211</v>
      </c>
      <c r="X33" s="2"/>
      <c r="Y33" s="4"/>
      <c r="Z33" s="4"/>
      <c r="AA33" s="14" t="s">
        <v>48</v>
      </c>
      <c r="AB33" s="14" t="s">
        <v>49</v>
      </c>
      <c r="AC33" s="14" t="s">
        <v>50</v>
      </c>
    </row>
    <row r="34" spans="1:29" ht="72" customHeight="1" x14ac:dyDescent="0.25">
      <c r="A34" s="2" t="s">
        <v>30</v>
      </c>
      <c r="B34" s="2" t="s">
        <v>31</v>
      </c>
      <c r="C34" s="2" t="s">
        <v>32</v>
      </c>
      <c r="D34" s="2" t="s">
        <v>144</v>
      </c>
      <c r="E34" s="2" t="s">
        <v>144</v>
      </c>
      <c r="F34" s="2" t="s">
        <v>145</v>
      </c>
      <c r="G34" s="2" t="s">
        <v>215</v>
      </c>
      <c r="H34" s="3" t="s">
        <v>216</v>
      </c>
      <c r="I34" s="4" t="s">
        <v>37</v>
      </c>
      <c r="J34" s="4" t="s">
        <v>148</v>
      </c>
      <c r="K34" s="4" t="s">
        <v>149</v>
      </c>
      <c r="L34" s="2" t="s">
        <v>215</v>
      </c>
      <c r="M34" s="2" t="s">
        <v>217</v>
      </c>
      <c r="N34" s="4" t="s">
        <v>54</v>
      </c>
      <c r="O34" s="4" t="s">
        <v>55</v>
      </c>
      <c r="P34" s="2" t="s">
        <v>151</v>
      </c>
      <c r="Q34" s="2" t="s">
        <v>218</v>
      </c>
      <c r="R34" s="2" t="s">
        <v>217</v>
      </c>
      <c r="S34" s="2" t="s">
        <v>219</v>
      </c>
      <c r="T34" s="2" t="s">
        <v>217</v>
      </c>
      <c r="U34" s="2" t="s">
        <v>925</v>
      </c>
      <c r="V34" s="4" t="s">
        <v>925</v>
      </c>
      <c r="W34" s="3" t="s">
        <v>216</v>
      </c>
      <c r="X34" s="2"/>
      <c r="Y34" s="4"/>
      <c r="Z34" s="4"/>
      <c r="AA34" s="14" t="s">
        <v>48</v>
      </c>
      <c r="AB34" s="14" t="s">
        <v>49</v>
      </c>
      <c r="AC34" s="14" t="s">
        <v>50</v>
      </c>
    </row>
    <row r="35" spans="1:29" ht="72" customHeight="1" x14ac:dyDescent="0.25">
      <c r="A35" s="2" t="s">
        <v>222</v>
      </c>
      <c r="B35" s="2" t="s">
        <v>223</v>
      </c>
      <c r="C35" s="2" t="s">
        <v>32</v>
      </c>
      <c r="D35" s="2" t="s">
        <v>224</v>
      </c>
      <c r="E35" s="2" t="s">
        <v>224</v>
      </c>
      <c r="F35" s="2" t="s">
        <v>225</v>
      </c>
      <c r="G35" s="2" t="s">
        <v>226</v>
      </c>
      <c r="H35" s="3" t="s">
        <v>227</v>
      </c>
      <c r="I35" s="4" t="s">
        <v>228</v>
      </c>
      <c r="J35" s="4" t="s">
        <v>229</v>
      </c>
      <c r="K35" s="4" t="s">
        <v>230</v>
      </c>
      <c r="L35" s="2" t="s">
        <v>226</v>
      </c>
      <c r="M35" s="2" t="s">
        <v>231</v>
      </c>
      <c r="N35" s="4" t="s">
        <v>41</v>
      </c>
      <c r="O35" s="4" t="s">
        <v>42</v>
      </c>
      <c r="P35" s="2" t="s">
        <v>232</v>
      </c>
      <c r="Q35" s="2" t="s">
        <v>233</v>
      </c>
      <c r="R35" s="2" t="s">
        <v>231</v>
      </c>
      <c r="S35" s="2" t="s">
        <v>234</v>
      </c>
      <c r="T35" s="2" t="s">
        <v>231</v>
      </c>
      <c r="U35" s="2" t="s">
        <v>925</v>
      </c>
      <c r="V35" s="4" t="s">
        <v>925</v>
      </c>
      <c r="W35" s="3" t="s">
        <v>227</v>
      </c>
      <c r="X35" s="2"/>
      <c r="Y35" s="4"/>
      <c r="Z35" s="4"/>
      <c r="AA35" s="14" t="s">
        <v>48</v>
      </c>
      <c r="AB35" s="14" t="s">
        <v>49</v>
      </c>
      <c r="AC35" s="14" t="s">
        <v>50</v>
      </c>
    </row>
    <row r="36" spans="1:29" ht="72" customHeight="1" x14ac:dyDescent="0.25">
      <c r="A36" s="2" t="s">
        <v>222</v>
      </c>
      <c r="B36" s="2" t="s">
        <v>223</v>
      </c>
      <c r="C36" s="2" t="s">
        <v>32</v>
      </c>
      <c r="D36" s="2" t="s">
        <v>224</v>
      </c>
      <c r="E36" s="2" t="s">
        <v>224</v>
      </c>
      <c r="F36" s="2" t="s">
        <v>225</v>
      </c>
      <c r="G36" s="2" t="s">
        <v>235</v>
      </c>
      <c r="H36" s="3" t="s">
        <v>236</v>
      </c>
      <c r="I36" s="4" t="s">
        <v>228</v>
      </c>
      <c r="J36" s="4" t="s">
        <v>229</v>
      </c>
      <c r="K36" s="4" t="s">
        <v>230</v>
      </c>
      <c r="L36" s="2" t="s">
        <v>235</v>
      </c>
      <c r="M36" s="2" t="s">
        <v>237</v>
      </c>
      <c r="N36" s="4" t="s">
        <v>41</v>
      </c>
      <c r="O36" s="4" t="s">
        <v>42</v>
      </c>
      <c r="P36" s="2" t="s">
        <v>232</v>
      </c>
      <c r="Q36" s="2" t="s">
        <v>238</v>
      </c>
      <c r="R36" s="2" t="s">
        <v>237</v>
      </c>
      <c r="S36" s="2" t="s">
        <v>239</v>
      </c>
      <c r="T36" s="2" t="s">
        <v>237</v>
      </c>
      <c r="U36" s="2" t="s">
        <v>925</v>
      </c>
      <c r="V36" s="4" t="s">
        <v>925</v>
      </c>
      <c r="W36" s="3" t="s">
        <v>236</v>
      </c>
      <c r="X36" s="2" t="s">
        <v>1073</v>
      </c>
      <c r="Y36" s="4"/>
      <c r="Z36" s="4"/>
      <c r="AA36" s="14" t="s">
        <v>48</v>
      </c>
      <c r="AB36" s="14" t="s">
        <v>49</v>
      </c>
      <c r="AC36" s="14" t="s">
        <v>50</v>
      </c>
    </row>
    <row r="37" spans="1:29" ht="72" customHeight="1" x14ac:dyDescent="0.25">
      <c r="A37" s="2" t="s">
        <v>222</v>
      </c>
      <c r="B37" s="2" t="s">
        <v>223</v>
      </c>
      <c r="C37" s="2" t="s">
        <v>32</v>
      </c>
      <c r="D37" s="2" t="s">
        <v>224</v>
      </c>
      <c r="E37" s="2" t="s">
        <v>224</v>
      </c>
      <c r="F37" s="2" t="s">
        <v>225</v>
      </c>
      <c r="G37" s="2" t="s">
        <v>240</v>
      </c>
      <c r="H37" s="3" t="s">
        <v>241</v>
      </c>
      <c r="I37" s="4" t="s">
        <v>228</v>
      </c>
      <c r="J37" s="4" t="s">
        <v>229</v>
      </c>
      <c r="K37" s="4" t="s">
        <v>230</v>
      </c>
      <c r="L37" s="2" t="s">
        <v>240</v>
      </c>
      <c r="M37" s="2" t="s">
        <v>242</v>
      </c>
      <c r="N37" s="4" t="s">
        <v>54</v>
      </c>
      <c r="O37" s="4" t="s">
        <v>42</v>
      </c>
      <c r="P37" s="2" t="s">
        <v>232</v>
      </c>
      <c r="Q37" s="2" t="s">
        <v>243</v>
      </c>
      <c r="R37" s="2" t="s">
        <v>242</v>
      </c>
      <c r="S37" s="2" t="s">
        <v>244</v>
      </c>
      <c r="T37" s="2" t="s">
        <v>242</v>
      </c>
      <c r="U37" s="2" t="s">
        <v>925</v>
      </c>
      <c r="V37" s="4" t="s">
        <v>925</v>
      </c>
      <c r="W37" s="3" t="s">
        <v>241</v>
      </c>
      <c r="X37" s="2"/>
      <c r="Y37" s="4"/>
      <c r="Z37" s="4"/>
      <c r="AA37" s="14" t="s">
        <v>48</v>
      </c>
      <c r="AB37" s="14" t="s">
        <v>49</v>
      </c>
      <c r="AC37" s="14" t="s">
        <v>50</v>
      </c>
    </row>
    <row r="38" spans="1:29" ht="72" customHeight="1" x14ac:dyDescent="0.25">
      <c r="A38" s="2" t="s">
        <v>222</v>
      </c>
      <c r="B38" s="2" t="s">
        <v>223</v>
      </c>
      <c r="C38" s="2" t="s">
        <v>32</v>
      </c>
      <c r="D38" s="2" t="s">
        <v>224</v>
      </c>
      <c r="E38" s="2" t="s">
        <v>224</v>
      </c>
      <c r="F38" s="2" t="s">
        <v>225</v>
      </c>
      <c r="G38" s="2" t="s">
        <v>245</v>
      </c>
      <c r="H38" s="3" t="s">
        <v>246</v>
      </c>
      <c r="I38" s="4" t="s">
        <v>228</v>
      </c>
      <c r="J38" s="4" t="s">
        <v>229</v>
      </c>
      <c r="K38" s="4" t="s">
        <v>230</v>
      </c>
      <c r="L38" s="2" t="s">
        <v>245</v>
      </c>
      <c r="M38" s="2" t="s">
        <v>247</v>
      </c>
      <c r="N38" s="4" t="s">
        <v>54</v>
      </c>
      <c r="O38" s="4" t="s">
        <v>221</v>
      </c>
      <c r="P38" s="2" t="s">
        <v>232</v>
      </c>
      <c r="Q38" s="2" t="s">
        <v>248</v>
      </c>
      <c r="R38" s="2" t="s">
        <v>247</v>
      </c>
      <c r="S38" s="2" t="s">
        <v>249</v>
      </c>
      <c r="T38" s="2" t="s">
        <v>247</v>
      </c>
      <c r="U38" s="2" t="s">
        <v>925</v>
      </c>
      <c r="V38" s="4" t="s">
        <v>925</v>
      </c>
      <c r="W38" s="3" t="s">
        <v>246</v>
      </c>
      <c r="X38" s="2"/>
      <c r="Y38" s="4"/>
      <c r="Z38" s="4"/>
      <c r="AA38" s="14" t="s">
        <v>48</v>
      </c>
      <c r="AB38" s="14" t="s">
        <v>49</v>
      </c>
      <c r="AC38" s="14" t="s">
        <v>50</v>
      </c>
    </row>
    <row r="39" spans="1:29" ht="72" customHeight="1" x14ac:dyDescent="0.25">
      <c r="A39" s="2" t="s">
        <v>222</v>
      </c>
      <c r="B39" s="2" t="s">
        <v>223</v>
      </c>
      <c r="C39" s="2" t="s">
        <v>32</v>
      </c>
      <c r="D39" s="2" t="s">
        <v>224</v>
      </c>
      <c r="E39" s="2" t="s">
        <v>224</v>
      </c>
      <c r="F39" s="2" t="s">
        <v>225</v>
      </c>
      <c r="G39" s="2" t="s">
        <v>250</v>
      </c>
      <c r="H39" s="3" t="s">
        <v>251</v>
      </c>
      <c r="I39" s="4" t="s">
        <v>228</v>
      </c>
      <c r="J39" s="4" t="s">
        <v>229</v>
      </c>
      <c r="K39" s="4" t="s">
        <v>230</v>
      </c>
      <c r="L39" s="2" t="s">
        <v>250</v>
      </c>
      <c r="M39" s="2" t="s">
        <v>252</v>
      </c>
      <c r="N39" s="4" t="s">
        <v>54</v>
      </c>
      <c r="O39" s="4" t="s">
        <v>42</v>
      </c>
      <c r="P39" s="2" t="s">
        <v>232</v>
      </c>
      <c r="Q39" s="2" t="s">
        <v>253</v>
      </c>
      <c r="R39" s="2" t="s">
        <v>252</v>
      </c>
      <c r="S39" s="2" t="s">
        <v>254</v>
      </c>
      <c r="T39" s="2" t="s">
        <v>252</v>
      </c>
      <c r="U39" s="2" t="s">
        <v>925</v>
      </c>
      <c r="V39" s="4" t="s">
        <v>925</v>
      </c>
      <c r="W39" s="3" t="s">
        <v>251</v>
      </c>
      <c r="X39" s="2"/>
      <c r="Y39" s="4"/>
      <c r="Z39" s="4"/>
      <c r="AA39" s="14" t="s">
        <v>48</v>
      </c>
      <c r="AB39" s="14" t="s">
        <v>49</v>
      </c>
      <c r="AC39" s="14" t="s">
        <v>50</v>
      </c>
    </row>
    <row r="40" spans="1:29" ht="72" customHeight="1" x14ac:dyDescent="0.25">
      <c r="A40" s="2" t="s">
        <v>222</v>
      </c>
      <c r="B40" s="2" t="s">
        <v>223</v>
      </c>
      <c r="C40" s="2" t="s">
        <v>32</v>
      </c>
      <c r="D40" s="2" t="s">
        <v>224</v>
      </c>
      <c r="E40" s="2" t="s">
        <v>224</v>
      </c>
      <c r="F40" s="2" t="s">
        <v>225</v>
      </c>
      <c r="G40" s="2" t="s">
        <v>255</v>
      </c>
      <c r="H40" s="3" t="s">
        <v>256</v>
      </c>
      <c r="I40" s="4" t="s">
        <v>228</v>
      </c>
      <c r="J40" s="4" t="s">
        <v>229</v>
      </c>
      <c r="K40" s="4" t="s">
        <v>230</v>
      </c>
      <c r="L40" s="2" t="s">
        <v>255</v>
      </c>
      <c r="M40" s="2" t="s">
        <v>257</v>
      </c>
      <c r="N40" s="4" t="s">
        <v>54</v>
      </c>
      <c r="O40" s="4" t="s">
        <v>221</v>
      </c>
      <c r="P40" s="2" t="s">
        <v>232</v>
      </c>
      <c r="Q40" s="2" t="s">
        <v>258</v>
      </c>
      <c r="R40" s="2" t="s">
        <v>257</v>
      </c>
      <c r="S40" s="2" t="s">
        <v>259</v>
      </c>
      <c r="T40" s="2" t="s">
        <v>257</v>
      </c>
      <c r="U40" s="2" t="s">
        <v>925</v>
      </c>
      <c r="V40" s="4" t="s">
        <v>925</v>
      </c>
      <c r="W40" s="3" t="s">
        <v>256</v>
      </c>
      <c r="X40" s="2"/>
      <c r="Y40" s="4"/>
      <c r="Z40" s="4"/>
      <c r="AA40" s="14" t="s">
        <v>48</v>
      </c>
      <c r="AB40" s="14" t="s">
        <v>49</v>
      </c>
      <c r="AC40" s="14" t="s">
        <v>50</v>
      </c>
    </row>
    <row r="41" spans="1:29" ht="72" customHeight="1" x14ac:dyDescent="0.25">
      <c r="A41" s="2" t="s">
        <v>222</v>
      </c>
      <c r="B41" s="2" t="s">
        <v>223</v>
      </c>
      <c r="C41" s="2" t="s">
        <v>32</v>
      </c>
      <c r="D41" s="2" t="s">
        <v>224</v>
      </c>
      <c r="E41" s="2" t="s">
        <v>224</v>
      </c>
      <c r="F41" s="2" t="s">
        <v>225</v>
      </c>
      <c r="G41" s="2" t="s">
        <v>260</v>
      </c>
      <c r="H41" s="3" t="s">
        <v>261</v>
      </c>
      <c r="I41" s="4" t="s">
        <v>228</v>
      </c>
      <c r="J41" s="4" t="s">
        <v>229</v>
      </c>
      <c r="K41" s="4" t="s">
        <v>230</v>
      </c>
      <c r="L41" s="2" t="s">
        <v>260</v>
      </c>
      <c r="M41" s="2" t="s">
        <v>262</v>
      </c>
      <c r="N41" s="4" t="s">
        <v>41</v>
      </c>
      <c r="O41" s="4" t="s">
        <v>103</v>
      </c>
      <c r="P41" s="2" t="s">
        <v>232</v>
      </c>
      <c r="Q41" s="2" t="s">
        <v>263</v>
      </c>
      <c r="R41" s="2" t="s">
        <v>262</v>
      </c>
      <c r="S41" s="2" t="s">
        <v>264</v>
      </c>
      <c r="T41" s="2" t="s">
        <v>262</v>
      </c>
      <c r="U41" s="2" t="s">
        <v>925</v>
      </c>
      <c r="V41" s="4" t="s">
        <v>925</v>
      </c>
      <c r="W41" s="3" t="s">
        <v>261</v>
      </c>
      <c r="X41" s="2"/>
      <c r="Y41" s="4"/>
      <c r="Z41" s="4"/>
      <c r="AA41" s="14" t="s">
        <v>48</v>
      </c>
      <c r="AB41" s="14" t="s">
        <v>49</v>
      </c>
      <c r="AC41" s="14" t="s">
        <v>50</v>
      </c>
    </row>
    <row r="42" spans="1:29" ht="72" customHeight="1" x14ac:dyDescent="0.25">
      <c r="A42" s="2" t="s">
        <v>222</v>
      </c>
      <c r="B42" s="2" t="s">
        <v>223</v>
      </c>
      <c r="C42" s="2" t="s">
        <v>32</v>
      </c>
      <c r="D42" s="2" t="s">
        <v>224</v>
      </c>
      <c r="E42" s="2" t="s">
        <v>224</v>
      </c>
      <c r="F42" s="2" t="s">
        <v>225</v>
      </c>
      <c r="G42" s="2" t="s">
        <v>265</v>
      </c>
      <c r="H42" s="3" t="s">
        <v>266</v>
      </c>
      <c r="I42" s="4" t="s">
        <v>228</v>
      </c>
      <c r="J42" s="4" t="s">
        <v>229</v>
      </c>
      <c r="K42" s="4" t="s">
        <v>230</v>
      </c>
      <c r="L42" s="2" t="s">
        <v>265</v>
      </c>
      <c r="M42" s="2" t="s">
        <v>267</v>
      </c>
      <c r="N42" s="4" t="s">
        <v>41</v>
      </c>
      <c r="O42" s="4" t="s">
        <v>103</v>
      </c>
      <c r="P42" s="2" t="s">
        <v>232</v>
      </c>
      <c r="Q42" s="2" t="s">
        <v>268</v>
      </c>
      <c r="R42" s="2" t="s">
        <v>267</v>
      </c>
      <c r="S42" s="2" t="s">
        <v>269</v>
      </c>
      <c r="T42" s="2" t="s">
        <v>267</v>
      </c>
      <c r="U42" s="2" t="s">
        <v>925</v>
      </c>
      <c r="V42" s="4" t="s">
        <v>925</v>
      </c>
      <c r="W42" s="3" t="s">
        <v>266</v>
      </c>
      <c r="X42" s="2" t="s">
        <v>270</v>
      </c>
      <c r="Y42" s="4"/>
      <c r="Z42" s="4"/>
      <c r="AA42" s="14" t="s">
        <v>48</v>
      </c>
      <c r="AB42" s="14" t="s">
        <v>49</v>
      </c>
      <c r="AC42" s="14" t="s">
        <v>50</v>
      </c>
    </row>
    <row r="43" spans="1:29" ht="72" customHeight="1" x14ac:dyDescent="0.25">
      <c r="A43" s="2" t="s">
        <v>271</v>
      </c>
      <c r="B43" s="2" t="s">
        <v>272</v>
      </c>
      <c r="C43" s="2" t="s">
        <v>32</v>
      </c>
      <c r="D43" s="2" t="s">
        <v>273</v>
      </c>
      <c r="E43" s="2" t="s">
        <v>273</v>
      </c>
      <c r="F43" s="2" t="s">
        <v>274</v>
      </c>
      <c r="G43" s="2" t="s">
        <v>275</v>
      </c>
      <c r="H43" s="3" t="s">
        <v>276</v>
      </c>
      <c r="I43" s="4" t="s">
        <v>277</v>
      </c>
      <c r="J43" s="4" t="s">
        <v>278</v>
      </c>
      <c r="K43" s="4" t="s">
        <v>279</v>
      </c>
      <c r="L43" s="2" t="s">
        <v>275</v>
      </c>
      <c r="M43" s="2" t="s">
        <v>280</v>
      </c>
      <c r="N43" s="4" t="s">
        <v>54</v>
      </c>
      <c r="O43" s="4" t="s">
        <v>42</v>
      </c>
      <c r="P43" s="2" t="s">
        <v>281</v>
      </c>
      <c r="Q43" s="2" t="s">
        <v>282</v>
      </c>
      <c r="R43" s="2" t="s">
        <v>280</v>
      </c>
      <c r="S43" s="2" t="s">
        <v>283</v>
      </c>
      <c r="T43" s="2" t="s">
        <v>280</v>
      </c>
      <c r="U43" s="2" t="s">
        <v>925</v>
      </c>
      <c r="V43" s="4" t="s">
        <v>925</v>
      </c>
      <c r="W43" s="3" t="s">
        <v>276</v>
      </c>
      <c r="X43" s="2"/>
      <c r="Y43" s="4"/>
      <c r="Z43" s="4"/>
      <c r="AA43" s="14" t="s">
        <v>48</v>
      </c>
      <c r="AB43" s="14" t="s">
        <v>49</v>
      </c>
      <c r="AC43" s="14" t="s">
        <v>50</v>
      </c>
    </row>
    <row r="44" spans="1:29" ht="72" customHeight="1" x14ac:dyDescent="0.25">
      <c r="A44" s="2" t="s">
        <v>271</v>
      </c>
      <c r="B44" s="2" t="s">
        <v>272</v>
      </c>
      <c r="C44" s="2" t="s">
        <v>32</v>
      </c>
      <c r="D44" s="2" t="s">
        <v>273</v>
      </c>
      <c r="E44" s="2" t="s">
        <v>273</v>
      </c>
      <c r="F44" s="2" t="s">
        <v>274</v>
      </c>
      <c r="G44" s="2" t="s">
        <v>284</v>
      </c>
      <c r="H44" s="3" t="s">
        <v>285</v>
      </c>
      <c r="I44" s="4" t="s">
        <v>277</v>
      </c>
      <c r="J44" s="4" t="s">
        <v>278</v>
      </c>
      <c r="K44" s="4" t="s">
        <v>279</v>
      </c>
      <c r="L44" s="2" t="s">
        <v>284</v>
      </c>
      <c r="M44" s="2" t="s">
        <v>286</v>
      </c>
      <c r="N44" s="4" t="s">
        <v>54</v>
      </c>
      <c r="O44" s="4" t="s">
        <v>42</v>
      </c>
      <c r="P44" s="2" t="s">
        <v>281</v>
      </c>
      <c r="Q44" s="2" t="s">
        <v>287</v>
      </c>
      <c r="R44" s="2" t="s">
        <v>286</v>
      </c>
      <c r="S44" s="2" t="s">
        <v>288</v>
      </c>
      <c r="T44" s="2" t="s">
        <v>286</v>
      </c>
      <c r="U44" s="2" t="s">
        <v>925</v>
      </c>
      <c r="V44" s="4" t="s">
        <v>925</v>
      </c>
      <c r="W44" s="3" t="s">
        <v>285</v>
      </c>
      <c r="X44" s="2" t="s">
        <v>289</v>
      </c>
      <c r="Y44" s="4"/>
      <c r="Z44" s="4"/>
      <c r="AA44" s="14" t="s">
        <v>48</v>
      </c>
      <c r="AB44" s="14" t="s">
        <v>49</v>
      </c>
      <c r="AC44" s="14" t="s">
        <v>50</v>
      </c>
    </row>
    <row r="45" spans="1:29" ht="72" customHeight="1" x14ac:dyDescent="0.25">
      <c r="A45" s="2" t="s">
        <v>271</v>
      </c>
      <c r="B45" s="2" t="s">
        <v>272</v>
      </c>
      <c r="C45" s="2" t="s">
        <v>32</v>
      </c>
      <c r="D45" s="2" t="s">
        <v>273</v>
      </c>
      <c r="E45" s="2" t="s">
        <v>273</v>
      </c>
      <c r="F45" s="2" t="s">
        <v>274</v>
      </c>
      <c r="G45" s="2" t="s">
        <v>290</v>
      </c>
      <c r="H45" s="3" t="s">
        <v>291</v>
      </c>
      <c r="I45" s="4" t="s">
        <v>277</v>
      </c>
      <c r="J45" s="4" t="s">
        <v>278</v>
      </c>
      <c r="K45" s="4" t="s">
        <v>279</v>
      </c>
      <c r="L45" s="2" t="s">
        <v>290</v>
      </c>
      <c r="M45" s="2" t="s">
        <v>292</v>
      </c>
      <c r="N45" s="4" t="s">
        <v>41</v>
      </c>
      <c r="O45" s="4" t="s">
        <v>42</v>
      </c>
      <c r="P45" s="2" t="s">
        <v>281</v>
      </c>
      <c r="Q45" s="2" t="s">
        <v>293</v>
      </c>
      <c r="R45" s="2" t="s">
        <v>292</v>
      </c>
      <c r="S45" s="2" t="s">
        <v>294</v>
      </c>
      <c r="T45" s="2" t="s">
        <v>292</v>
      </c>
      <c r="U45" s="2" t="s">
        <v>925</v>
      </c>
      <c r="V45" s="4" t="s">
        <v>925</v>
      </c>
      <c r="W45" s="3" t="s">
        <v>291</v>
      </c>
      <c r="X45" s="2" t="s">
        <v>295</v>
      </c>
      <c r="Y45" s="4"/>
      <c r="Z45" s="4"/>
      <c r="AA45" s="14" t="s">
        <v>48</v>
      </c>
      <c r="AB45" s="14" t="s">
        <v>49</v>
      </c>
      <c r="AC45" s="14" t="s">
        <v>50</v>
      </c>
    </row>
    <row r="46" spans="1:29" ht="72" customHeight="1" x14ac:dyDescent="0.25">
      <c r="A46" s="2" t="s">
        <v>271</v>
      </c>
      <c r="B46" s="2" t="s">
        <v>272</v>
      </c>
      <c r="C46" s="2" t="s">
        <v>32</v>
      </c>
      <c r="D46" s="2" t="s">
        <v>273</v>
      </c>
      <c r="E46" s="2" t="s">
        <v>273</v>
      </c>
      <c r="F46" s="2" t="s">
        <v>274</v>
      </c>
      <c r="G46" s="2" t="s">
        <v>296</v>
      </c>
      <c r="H46" s="3" t="s">
        <v>297</v>
      </c>
      <c r="I46" s="4" t="s">
        <v>277</v>
      </c>
      <c r="J46" s="4" t="s">
        <v>278</v>
      </c>
      <c r="K46" s="4" t="s">
        <v>279</v>
      </c>
      <c r="L46" s="2" t="s">
        <v>296</v>
      </c>
      <c r="M46" s="2" t="s">
        <v>298</v>
      </c>
      <c r="N46" s="4" t="s">
        <v>41</v>
      </c>
      <c r="O46" s="4" t="s">
        <v>103</v>
      </c>
      <c r="P46" s="2" t="s">
        <v>281</v>
      </c>
      <c r="Q46" s="2" t="s">
        <v>299</v>
      </c>
      <c r="R46" s="2" t="s">
        <v>298</v>
      </c>
      <c r="S46" s="2" t="s">
        <v>300</v>
      </c>
      <c r="T46" s="2" t="s">
        <v>298</v>
      </c>
      <c r="U46" s="2" t="s">
        <v>925</v>
      </c>
      <c r="V46" s="4" t="s">
        <v>925</v>
      </c>
      <c r="W46" s="3" t="s">
        <v>297</v>
      </c>
      <c r="X46" s="2"/>
      <c r="Y46" s="4"/>
      <c r="Z46" s="4"/>
      <c r="AA46" s="14" t="s">
        <v>48</v>
      </c>
      <c r="AB46" s="14" t="s">
        <v>49</v>
      </c>
      <c r="AC46" s="14" t="s">
        <v>50</v>
      </c>
    </row>
    <row r="47" spans="1:29" ht="72" customHeight="1" x14ac:dyDescent="0.25">
      <c r="A47" s="2" t="s">
        <v>271</v>
      </c>
      <c r="B47" s="2" t="s">
        <v>272</v>
      </c>
      <c r="C47" s="2" t="s">
        <v>32</v>
      </c>
      <c r="D47" s="2" t="s">
        <v>273</v>
      </c>
      <c r="E47" s="2" t="s">
        <v>273</v>
      </c>
      <c r="F47" s="2" t="s">
        <v>274</v>
      </c>
      <c r="G47" s="2" t="s">
        <v>301</v>
      </c>
      <c r="H47" s="3" t="s">
        <v>302</v>
      </c>
      <c r="I47" s="4" t="s">
        <v>277</v>
      </c>
      <c r="J47" s="4" t="s">
        <v>278</v>
      </c>
      <c r="K47" s="4" t="s">
        <v>279</v>
      </c>
      <c r="L47" s="2" t="s">
        <v>301</v>
      </c>
      <c r="M47" s="2" t="s">
        <v>303</v>
      </c>
      <c r="N47" s="4" t="s">
        <v>54</v>
      </c>
      <c r="O47" s="4" t="s">
        <v>55</v>
      </c>
      <c r="P47" s="2" t="s">
        <v>281</v>
      </c>
      <c r="Q47" s="2" t="s">
        <v>304</v>
      </c>
      <c r="R47" s="2" t="s">
        <v>303</v>
      </c>
      <c r="S47" s="2" t="s">
        <v>305</v>
      </c>
      <c r="T47" s="2" t="s">
        <v>303</v>
      </c>
      <c r="U47" s="2" t="s">
        <v>927</v>
      </c>
      <c r="V47" s="4" t="s">
        <v>927</v>
      </c>
      <c r="W47" s="3" t="s">
        <v>302</v>
      </c>
      <c r="X47" s="2"/>
      <c r="Y47" s="4"/>
      <c r="Z47" s="4"/>
      <c r="AA47" s="14" t="s">
        <v>48</v>
      </c>
      <c r="AB47" s="14" t="s">
        <v>49</v>
      </c>
      <c r="AC47" s="14" t="s">
        <v>50</v>
      </c>
    </row>
    <row r="48" spans="1:29" ht="72" customHeight="1" x14ac:dyDescent="0.25">
      <c r="A48" s="2" t="s">
        <v>271</v>
      </c>
      <c r="B48" s="2" t="s">
        <v>272</v>
      </c>
      <c r="C48" s="2" t="s">
        <v>32</v>
      </c>
      <c r="D48" s="2" t="s">
        <v>273</v>
      </c>
      <c r="E48" s="2" t="s">
        <v>273</v>
      </c>
      <c r="F48" s="2" t="s">
        <v>274</v>
      </c>
      <c r="G48" s="2" t="s">
        <v>306</v>
      </c>
      <c r="H48" s="3" t="s">
        <v>307</v>
      </c>
      <c r="I48" s="4" t="s">
        <v>277</v>
      </c>
      <c r="J48" s="4" t="s">
        <v>278</v>
      </c>
      <c r="K48" s="4" t="s">
        <v>279</v>
      </c>
      <c r="L48" s="2" t="s">
        <v>306</v>
      </c>
      <c r="M48" s="2" t="s">
        <v>308</v>
      </c>
      <c r="N48" s="4" t="s">
        <v>41</v>
      </c>
      <c r="O48" s="4" t="s">
        <v>103</v>
      </c>
      <c r="P48" s="2" t="s">
        <v>281</v>
      </c>
      <c r="Q48" s="2" t="s">
        <v>309</v>
      </c>
      <c r="R48" s="2" t="s">
        <v>308</v>
      </c>
      <c r="S48" s="2" t="s">
        <v>310</v>
      </c>
      <c r="T48" s="2" t="s">
        <v>308</v>
      </c>
      <c r="U48" s="2" t="s">
        <v>925</v>
      </c>
      <c r="V48" s="4" t="s">
        <v>925</v>
      </c>
      <c r="W48" s="3" t="s">
        <v>307</v>
      </c>
      <c r="X48" s="2" t="s">
        <v>311</v>
      </c>
      <c r="Y48" s="4"/>
      <c r="Z48" s="4"/>
      <c r="AA48" s="14" t="s">
        <v>48</v>
      </c>
      <c r="AB48" s="14" t="s">
        <v>49</v>
      </c>
      <c r="AC48" s="14" t="s">
        <v>50</v>
      </c>
    </row>
    <row r="49" spans="1:29" ht="221.25" customHeight="1" x14ac:dyDescent="0.25">
      <c r="A49" s="2" t="s">
        <v>312</v>
      </c>
      <c r="B49" s="2" t="s">
        <v>313</v>
      </c>
      <c r="C49" s="2" t="s">
        <v>32</v>
      </c>
      <c r="D49" s="2" t="s">
        <v>314</v>
      </c>
      <c r="E49" s="2" t="s">
        <v>315</v>
      </c>
      <c r="F49" s="2" t="s">
        <v>314</v>
      </c>
      <c r="G49" s="2" t="s">
        <v>316</v>
      </c>
      <c r="H49" s="3" t="s">
        <v>317</v>
      </c>
      <c r="I49" s="4"/>
      <c r="J49" s="4" t="s">
        <v>318</v>
      </c>
      <c r="K49" s="4" t="s">
        <v>319</v>
      </c>
      <c r="L49" s="2" t="s">
        <v>316</v>
      </c>
      <c r="M49" s="2" t="s">
        <v>320</v>
      </c>
      <c r="N49" s="4" t="s">
        <v>41</v>
      </c>
      <c r="O49" s="4" t="s">
        <v>321</v>
      </c>
      <c r="P49" s="2" t="s">
        <v>322</v>
      </c>
      <c r="Q49" s="2" t="s">
        <v>323</v>
      </c>
      <c r="R49" s="2" t="s">
        <v>320</v>
      </c>
      <c r="S49" s="2" t="s">
        <v>324</v>
      </c>
      <c r="T49" s="2" t="s">
        <v>320</v>
      </c>
      <c r="U49" s="2" t="s">
        <v>925</v>
      </c>
      <c r="V49" s="4" t="s">
        <v>925</v>
      </c>
      <c r="W49" s="3" t="s">
        <v>317</v>
      </c>
      <c r="X49" s="2"/>
      <c r="Y49" s="4"/>
      <c r="Z49" s="4"/>
      <c r="AA49" s="14" t="s">
        <v>48</v>
      </c>
      <c r="AB49" s="14" t="s">
        <v>49</v>
      </c>
      <c r="AC49" s="14" t="s">
        <v>50</v>
      </c>
    </row>
    <row r="50" spans="1:29" ht="72" customHeight="1" x14ac:dyDescent="0.25">
      <c r="A50" s="2" t="s">
        <v>312</v>
      </c>
      <c r="B50" s="2" t="s">
        <v>313</v>
      </c>
      <c r="C50" s="2" t="s">
        <v>32</v>
      </c>
      <c r="D50" s="2" t="s">
        <v>314</v>
      </c>
      <c r="E50" s="2" t="s">
        <v>315</v>
      </c>
      <c r="F50" s="2" t="s">
        <v>314</v>
      </c>
      <c r="G50" s="2" t="s">
        <v>325</v>
      </c>
      <c r="H50" s="3" t="s">
        <v>326</v>
      </c>
      <c r="I50" s="4"/>
      <c r="J50" s="4" t="s">
        <v>318</v>
      </c>
      <c r="K50" s="4" t="s">
        <v>319</v>
      </c>
      <c r="L50" s="2" t="s">
        <v>325</v>
      </c>
      <c r="M50" s="2" t="s">
        <v>327</v>
      </c>
      <c r="N50" s="4" t="s">
        <v>41</v>
      </c>
      <c r="O50" s="4" t="s">
        <v>172</v>
      </c>
      <c r="P50" s="2" t="s">
        <v>328</v>
      </c>
      <c r="Q50" s="2" t="s">
        <v>329</v>
      </c>
      <c r="R50" s="2" t="s">
        <v>327</v>
      </c>
      <c r="S50" s="2" t="s">
        <v>330</v>
      </c>
      <c r="T50" s="2" t="s">
        <v>327</v>
      </c>
      <c r="U50" s="2" t="s">
        <v>925</v>
      </c>
      <c r="V50" s="4" t="s">
        <v>925</v>
      </c>
      <c r="W50" s="3" t="s">
        <v>326</v>
      </c>
      <c r="X50" s="2"/>
      <c r="Y50" s="4"/>
      <c r="Z50" s="4"/>
      <c r="AA50" s="14" t="s">
        <v>48</v>
      </c>
      <c r="AB50" s="14" t="s">
        <v>49</v>
      </c>
      <c r="AC50" s="14" t="s">
        <v>50</v>
      </c>
    </row>
    <row r="51" spans="1:29" ht="72" customHeight="1" x14ac:dyDescent="0.25">
      <c r="A51" s="2" t="s">
        <v>312</v>
      </c>
      <c r="B51" s="2" t="s">
        <v>313</v>
      </c>
      <c r="C51" s="2" t="s">
        <v>32</v>
      </c>
      <c r="D51" s="2" t="s">
        <v>314</v>
      </c>
      <c r="E51" s="2" t="s">
        <v>315</v>
      </c>
      <c r="F51" s="2" t="s">
        <v>314</v>
      </c>
      <c r="G51" s="2" t="s">
        <v>198</v>
      </c>
      <c r="H51" s="3" t="s">
        <v>331</v>
      </c>
      <c r="I51" s="4"/>
      <c r="J51" s="4" t="s">
        <v>318</v>
      </c>
      <c r="K51" s="4" t="s">
        <v>319</v>
      </c>
      <c r="L51" s="2" t="s">
        <v>198</v>
      </c>
      <c r="M51" s="2" t="s">
        <v>332</v>
      </c>
      <c r="N51" s="4" t="s">
        <v>41</v>
      </c>
      <c r="O51" s="4" t="s">
        <v>172</v>
      </c>
      <c r="P51" s="2" t="s">
        <v>328</v>
      </c>
      <c r="Q51" s="2" t="s">
        <v>333</v>
      </c>
      <c r="R51" s="2" t="s">
        <v>332</v>
      </c>
      <c r="S51" s="2" t="s">
        <v>334</v>
      </c>
      <c r="T51" s="2" t="s">
        <v>332</v>
      </c>
      <c r="U51" s="2" t="s">
        <v>925</v>
      </c>
      <c r="V51" s="4" t="s">
        <v>925</v>
      </c>
      <c r="W51" s="3" t="s">
        <v>331</v>
      </c>
      <c r="X51" s="2"/>
      <c r="Y51" s="4"/>
      <c r="Z51" s="4"/>
      <c r="AA51" s="14" t="s">
        <v>48</v>
      </c>
      <c r="AB51" s="14" t="s">
        <v>49</v>
      </c>
      <c r="AC51" s="14" t="s">
        <v>50</v>
      </c>
    </row>
    <row r="52" spans="1:29" ht="72" customHeight="1" x14ac:dyDescent="0.25">
      <c r="A52" s="2" t="s">
        <v>312</v>
      </c>
      <c r="B52" s="2" t="s">
        <v>313</v>
      </c>
      <c r="C52" s="2" t="s">
        <v>32</v>
      </c>
      <c r="D52" s="2" t="s">
        <v>314</v>
      </c>
      <c r="E52" s="2" t="s">
        <v>315</v>
      </c>
      <c r="F52" s="2" t="s">
        <v>314</v>
      </c>
      <c r="G52" s="2" t="s">
        <v>335</v>
      </c>
      <c r="H52" s="3" t="s">
        <v>336</v>
      </c>
      <c r="I52" s="4"/>
      <c r="J52" s="4" t="s">
        <v>318</v>
      </c>
      <c r="K52" s="4" t="s">
        <v>319</v>
      </c>
      <c r="L52" s="2" t="s">
        <v>335</v>
      </c>
      <c r="M52" s="2" t="s">
        <v>337</v>
      </c>
      <c r="N52" s="4" t="s">
        <v>54</v>
      </c>
      <c r="O52" s="4" t="s">
        <v>172</v>
      </c>
      <c r="P52" s="2" t="s">
        <v>328</v>
      </c>
      <c r="Q52" s="2" t="s">
        <v>338</v>
      </c>
      <c r="R52" s="2" t="s">
        <v>337</v>
      </c>
      <c r="S52" s="2" t="s">
        <v>339</v>
      </c>
      <c r="T52" s="2" t="s">
        <v>337</v>
      </c>
      <c r="U52" s="2" t="s">
        <v>925</v>
      </c>
      <c r="V52" s="4" t="s">
        <v>925</v>
      </c>
      <c r="W52" s="3" t="s">
        <v>336</v>
      </c>
      <c r="X52" s="2"/>
      <c r="Y52" s="4"/>
      <c r="Z52" s="4"/>
      <c r="AA52" s="14" t="s">
        <v>48</v>
      </c>
      <c r="AB52" s="14" t="s">
        <v>49</v>
      </c>
      <c r="AC52" s="14" t="s">
        <v>50</v>
      </c>
    </row>
    <row r="53" spans="1:29" ht="72" customHeight="1" x14ac:dyDescent="0.25">
      <c r="A53" s="2" t="s">
        <v>312</v>
      </c>
      <c r="B53" s="2" t="s">
        <v>313</v>
      </c>
      <c r="C53" s="2" t="s">
        <v>32</v>
      </c>
      <c r="D53" s="2" t="s">
        <v>314</v>
      </c>
      <c r="E53" s="2" t="s">
        <v>315</v>
      </c>
      <c r="F53" s="2" t="s">
        <v>314</v>
      </c>
      <c r="G53" s="2" t="s">
        <v>340</v>
      </c>
      <c r="H53" s="3" t="s">
        <v>341</v>
      </c>
      <c r="I53" s="4"/>
      <c r="J53" s="4" t="s">
        <v>318</v>
      </c>
      <c r="K53" s="4" t="s">
        <v>319</v>
      </c>
      <c r="L53" s="2" t="s">
        <v>340</v>
      </c>
      <c r="M53" s="2" t="s">
        <v>342</v>
      </c>
      <c r="N53" s="4" t="s">
        <v>41</v>
      </c>
      <c r="O53" s="4" t="s">
        <v>172</v>
      </c>
      <c r="P53" s="2" t="s">
        <v>328</v>
      </c>
      <c r="Q53" s="2" t="s">
        <v>343</v>
      </c>
      <c r="R53" s="2" t="s">
        <v>342</v>
      </c>
      <c r="S53" s="2" t="s">
        <v>344</v>
      </c>
      <c r="T53" s="2" t="s">
        <v>342</v>
      </c>
      <c r="U53" s="2" t="s">
        <v>925</v>
      </c>
      <c r="V53" s="4" t="s">
        <v>925</v>
      </c>
      <c r="W53" s="3" t="s">
        <v>341</v>
      </c>
      <c r="X53" s="2"/>
      <c r="Y53" s="4"/>
      <c r="Z53" s="4"/>
      <c r="AA53" s="14" t="s">
        <v>48</v>
      </c>
      <c r="AB53" s="14" t="s">
        <v>49</v>
      </c>
      <c r="AC53" s="14" t="s">
        <v>50</v>
      </c>
    </row>
    <row r="54" spans="1:29" ht="72" customHeight="1" x14ac:dyDescent="0.25">
      <c r="A54" s="2" t="s">
        <v>222</v>
      </c>
      <c r="B54" s="2" t="s">
        <v>223</v>
      </c>
      <c r="C54" s="2" t="s">
        <v>32</v>
      </c>
      <c r="D54" s="2" t="s">
        <v>345</v>
      </c>
      <c r="E54" s="2" t="s">
        <v>345</v>
      </c>
      <c r="F54" s="2" t="s">
        <v>346</v>
      </c>
      <c r="G54" s="2" t="s">
        <v>347</v>
      </c>
      <c r="H54" s="3" t="s">
        <v>348</v>
      </c>
      <c r="I54" s="4" t="s">
        <v>228</v>
      </c>
      <c r="J54" s="4" t="s">
        <v>349</v>
      </c>
      <c r="K54" s="4" t="s">
        <v>350</v>
      </c>
      <c r="L54" s="2" t="s">
        <v>347</v>
      </c>
      <c r="M54" s="2" t="s">
        <v>351</v>
      </c>
      <c r="N54" s="4" t="s">
        <v>61</v>
      </c>
      <c r="O54" s="4" t="s">
        <v>42</v>
      </c>
      <c r="P54" s="2" t="s">
        <v>352</v>
      </c>
      <c r="Q54" s="2" t="s">
        <v>353</v>
      </c>
      <c r="R54" s="2" t="s">
        <v>351</v>
      </c>
      <c r="S54" s="2" t="s">
        <v>354</v>
      </c>
      <c r="T54" s="2" t="s">
        <v>351</v>
      </c>
      <c r="U54" s="2" t="s">
        <v>925</v>
      </c>
      <c r="V54" s="4" t="s">
        <v>925</v>
      </c>
      <c r="W54" s="3" t="s">
        <v>348</v>
      </c>
      <c r="X54" s="2"/>
      <c r="Y54" s="4"/>
      <c r="Z54" s="4"/>
      <c r="AA54" s="14" t="s">
        <v>48</v>
      </c>
      <c r="AB54" s="14" t="s">
        <v>49</v>
      </c>
      <c r="AC54" s="14" t="s">
        <v>50</v>
      </c>
    </row>
    <row r="55" spans="1:29" ht="72" customHeight="1" x14ac:dyDescent="0.25">
      <c r="A55" s="2" t="s">
        <v>222</v>
      </c>
      <c r="B55" s="2" t="s">
        <v>223</v>
      </c>
      <c r="C55" s="2" t="s">
        <v>32</v>
      </c>
      <c r="D55" s="2" t="s">
        <v>345</v>
      </c>
      <c r="E55" s="2" t="s">
        <v>345</v>
      </c>
      <c r="F55" s="2" t="s">
        <v>346</v>
      </c>
      <c r="G55" s="2" t="s">
        <v>355</v>
      </c>
      <c r="H55" s="3" t="s">
        <v>356</v>
      </c>
      <c r="I55" s="4" t="s">
        <v>228</v>
      </c>
      <c r="J55" s="4" t="s">
        <v>349</v>
      </c>
      <c r="K55" s="4" t="s">
        <v>350</v>
      </c>
      <c r="L55" s="2" t="s">
        <v>355</v>
      </c>
      <c r="M55" s="2" t="s">
        <v>357</v>
      </c>
      <c r="N55" s="4" t="s">
        <v>54</v>
      </c>
      <c r="O55" s="4" t="s">
        <v>42</v>
      </c>
      <c r="P55" s="2" t="s">
        <v>358</v>
      </c>
      <c r="Q55" s="2" t="s">
        <v>353</v>
      </c>
      <c r="R55" s="2" t="s">
        <v>357</v>
      </c>
      <c r="S55" s="2" t="s">
        <v>359</v>
      </c>
      <c r="T55" s="2" t="s">
        <v>357</v>
      </c>
      <c r="U55" s="2" t="s">
        <v>925</v>
      </c>
      <c r="V55" s="4" t="s">
        <v>925</v>
      </c>
      <c r="W55" s="3" t="s">
        <v>356</v>
      </c>
      <c r="X55" s="2"/>
      <c r="Y55" s="4"/>
      <c r="Z55" s="4"/>
      <c r="AA55" s="14" t="s">
        <v>48</v>
      </c>
      <c r="AB55" s="14" t="s">
        <v>49</v>
      </c>
      <c r="AC55" s="14" t="s">
        <v>50</v>
      </c>
    </row>
    <row r="56" spans="1:29" ht="72" customHeight="1" x14ac:dyDescent="0.25">
      <c r="A56" s="2" t="s">
        <v>222</v>
      </c>
      <c r="B56" s="2" t="s">
        <v>223</v>
      </c>
      <c r="C56" s="2" t="s">
        <v>32</v>
      </c>
      <c r="D56" s="2" t="s">
        <v>345</v>
      </c>
      <c r="E56" s="2" t="s">
        <v>345</v>
      </c>
      <c r="F56" s="2" t="s">
        <v>346</v>
      </c>
      <c r="G56" s="2" t="s">
        <v>360</v>
      </c>
      <c r="H56" s="3" t="s">
        <v>361</v>
      </c>
      <c r="I56" s="4" t="s">
        <v>228</v>
      </c>
      <c r="J56" s="4" t="s">
        <v>349</v>
      </c>
      <c r="K56" s="4" t="s">
        <v>350</v>
      </c>
      <c r="L56" s="2" t="s">
        <v>360</v>
      </c>
      <c r="M56" s="2" t="s">
        <v>362</v>
      </c>
      <c r="N56" s="4" t="s">
        <v>54</v>
      </c>
      <c r="O56" s="4" t="s">
        <v>42</v>
      </c>
      <c r="P56" s="2" t="s">
        <v>363</v>
      </c>
      <c r="Q56" s="2" t="s">
        <v>353</v>
      </c>
      <c r="R56" s="2" t="s">
        <v>362</v>
      </c>
      <c r="S56" s="2" t="s">
        <v>364</v>
      </c>
      <c r="T56" s="2" t="s">
        <v>362</v>
      </c>
      <c r="U56" s="2" t="s">
        <v>925</v>
      </c>
      <c r="V56" s="4" t="s">
        <v>925</v>
      </c>
      <c r="W56" s="3" t="s">
        <v>361</v>
      </c>
      <c r="X56" s="2"/>
      <c r="Y56" s="4"/>
      <c r="Z56" s="4"/>
      <c r="AA56" s="14" t="s">
        <v>48</v>
      </c>
      <c r="AB56" s="14" t="s">
        <v>49</v>
      </c>
      <c r="AC56" s="14" t="s">
        <v>50</v>
      </c>
    </row>
    <row r="57" spans="1:29" ht="72" customHeight="1" x14ac:dyDescent="0.25">
      <c r="A57" s="2" t="s">
        <v>222</v>
      </c>
      <c r="B57" s="2" t="s">
        <v>223</v>
      </c>
      <c r="C57" s="2" t="s">
        <v>32</v>
      </c>
      <c r="D57" s="2" t="s">
        <v>345</v>
      </c>
      <c r="E57" s="2" t="s">
        <v>345</v>
      </c>
      <c r="F57" s="2" t="s">
        <v>346</v>
      </c>
      <c r="G57" s="2" t="s">
        <v>365</v>
      </c>
      <c r="H57" s="3" t="s">
        <v>366</v>
      </c>
      <c r="I57" s="4" t="s">
        <v>228</v>
      </c>
      <c r="J57" s="4" t="s">
        <v>349</v>
      </c>
      <c r="K57" s="4" t="s">
        <v>350</v>
      </c>
      <c r="L57" s="2" t="s">
        <v>365</v>
      </c>
      <c r="M57" s="2" t="s">
        <v>367</v>
      </c>
      <c r="N57" s="4" t="s">
        <v>54</v>
      </c>
      <c r="O57" s="4" t="s">
        <v>42</v>
      </c>
      <c r="P57" s="2" t="s">
        <v>368</v>
      </c>
      <c r="Q57" s="2" t="s">
        <v>353</v>
      </c>
      <c r="R57" s="2" t="s">
        <v>367</v>
      </c>
      <c r="S57" s="2" t="s">
        <v>369</v>
      </c>
      <c r="T57" s="2" t="s">
        <v>367</v>
      </c>
      <c r="U57" s="2" t="s">
        <v>925</v>
      </c>
      <c r="V57" s="4" t="s">
        <v>925</v>
      </c>
      <c r="W57" s="3" t="s">
        <v>366</v>
      </c>
      <c r="X57" s="2"/>
      <c r="Y57" s="4"/>
      <c r="Z57" s="4"/>
      <c r="AA57" s="14" t="s">
        <v>48</v>
      </c>
      <c r="AB57" s="14" t="s">
        <v>49</v>
      </c>
      <c r="AC57" s="14" t="s">
        <v>50</v>
      </c>
    </row>
    <row r="58" spans="1:29" ht="72" customHeight="1" x14ac:dyDescent="0.25">
      <c r="A58" s="2" t="s">
        <v>222</v>
      </c>
      <c r="B58" s="2" t="s">
        <v>223</v>
      </c>
      <c r="C58" s="2" t="s">
        <v>32</v>
      </c>
      <c r="D58" s="2" t="s">
        <v>345</v>
      </c>
      <c r="E58" s="2" t="s">
        <v>345</v>
      </c>
      <c r="F58" s="2" t="s">
        <v>346</v>
      </c>
      <c r="G58" s="2" t="s">
        <v>370</v>
      </c>
      <c r="H58" s="3" t="s">
        <v>371</v>
      </c>
      <c r="I58" s="4" t="s">
        <v>228</v>
      </c>
      <c r="J58" s="4" t="s">
        <v>349</v>
      </c>
      <c r="K58" s="4" t="s">
        <v>350</v>
      </c>
      <c r="L58" s="2" t="s">
        <v>370</v>
      </c>
      <c r="M58" s="2" t="s">
        <v>372</v>
      </c>
      <c r="N58" s="4" t="s">
        <v>61</v>
      </c>
      <c r="O58" s="4" t="s">
        <v>42</v>
      </c>
      <c r="P58" s="2" t="s">
        <v>373</v>
      </c>
      <c r="Q58" s="2" t="s">
        <v>374</v>
      </c>
      <c r="R58" s="2" t="s">
        <v>372</v>
      </c>
      <c r="S58" s="2" t="s">
        <v>375</v>
      </c>
      <c r="T58" s="2" t="s">
        <v>372</v>
      </c>
      <c r="U58" s="2" t="s">
        <v>925</v>
      </c>
      <c r="V58" s="4" t="s">
        <v>925</v>
      </c>
      <c r="W58" s="3" t="s">
        <v>371</v>
      </c>
      <c r="X58" s="2"/>
      <c r="Y58" s="4"/>
      <c r="Z58" s="4"/>
      <c r="AA58" s="14" t="s">
        <v>48</v>
      </c>
      <c r="AB58" s="14" t="s">
        <v>49</v>
      </c>
      <c r="AC58" s="14" t="s">
        <v>50</v>
      </c>
    </row>
    <row r="59" spans="1:29" ht="72" customHeight="1" x14ac:dyDescent="0.25">
      <c r="A59" s="2" t="s">
        <v>222</v>
      </c>
      <c r="B59" s="2" t="s">
        <v>223</v>
      </c>
      <c r="C59" s="2" t="s">
        <v>32</v>
      </c>
      <c r="D59" s="2" t="s">
        <v>345</v>
      </c>
      <c r="E59" s="2" t="s">
        <v>345</v>
      </c>
      <c r="F59" s="2" t="s">
        <v>346</v>
      </c>
      <c r="G59" s="2" t="s">
        <v>376</v>
      </c>
      <c r="H59" s="3" t="s">
        <v>377</v>
      </c>
      <c r="I59" s="4" t="s">
        <v>228</v>
      </c>
      <c r="J59" s="4" t="s">
        <v>349</v>
      </c>
      <c r="K59" s="4" t="s">
        <v>350</v>
      </c>
      <c r="L59" s="2" t="s">
        <v>376</v>
      </c>
      <c r="M59" s="2" t="s">
        <v>378</v>
      </c>
      <c r="N59" s="4" t="s">
        <v>54</v>
      </c>
      <c r="O59" s="4" t="s">
        <v>42</v>
      </c>
      <c r="P59" s="2" t="s">
        <v>379</v>
      </c>
      <c r="Q59" s="2" t="s">
        <v>380</v>
      </c>
      <c r="R59" s="2" t="s">
        <v>378</v>
      </c>
      <c r="S59" s="2" t="s">
        <v>381</v>
      </c>
      <c r="T59" s="2" t="s">
        <v>378</v>
      </c>
      <c r="U59" s="2" t="s">
        <v>925</v>
      </c>
      <c r="V59" s="4" t="s">
        <v>925</v>
      </c>
      <c r="W59" s="3" t="s">
        <v>377</v>
      </c>
      <c r="X59" s="2"/>
      <c r="Y59" s="4"/>
      <c r="Z59" s="4"/>
      <c r="AA59" s="14" t="s">
        <v>48</v>
      </c>
      <c r="AB59" s="14" t="s">
        <v>49</v>
      </c>
      <c r="AC59" s="14" t="s">
        <v>50</v>
      </c>
    </row>
    <row r="60" spans="1:29" ht="72" customHeight="1" x14ac:dyDescent="0.25">
      <c r="A60" s="2" t="s">
        <v>382</v>
      </c>
      <c r="B60" s="2" t="s">
        <v>383</v>
      </c>
      <c r="C60" s="2" t="s">
        <v>32</v>
      </c>
      <c r="D60" s="2" t="s">
        <v>384</v>
      </c>
      <c r="E60" s="2" t="s">
        <v>384</v>
      </c>
      <c r="F60" s="2" t="s">
        <v>385</v>
      </c>
      <c r="G60" s="2" t="s">
        <v>386</v>
      </c>
      <c r="H60" s="3" t="s">
        <v>387</v>
      </c>
      <c r="I60" s="4" t="s">
        <v>388</v>
      </c>
      <c r="J60" s="4" t="s">
        <v>220</v>
      </c>
      <c r="K60" s="4" t="s">
        <v>389</v>
      </c>
      <c r="L60" s="2" t="s">
        <v>386</v>
      </c>
      <c r="M60" s="2" t="s">
        <v>390</v>
      </c>
      <c r="N60" s="4" t="s">
        <v>61</v>
      </c>
      <c r="O60" s="4" t="s">
        <v>42</v>
      </c>
      <c r="P60" s="2" t="s">
        <v>391</v>
      </c>
      <c r="Q60" s="2" t="s">
        <v>374</v>
      </c>
      <c r="R60" s="2" t="s">
        <v>390</v>
      </c>
      <c r="S60" s="2" t="s">
        <v>392</v>
      </c>
      <c r="T60" s="2" t="s">
        <v>390</v>
      </c>
      <c r="U60" s="2" t="s">
        <v>925</v>
      </c>
      <c r="V60" s="4" t="s">
        <v>925</v>
      </c>
      <c r="W60" s="3" t="s">
        <v>387</v>
      </c>
      <c r="X60" s="2"/>
      <c r="Y60" s="4"/>
      <c r="Z60" s="4"/>
      <c r="AA60" s="14" t="s">
        <v>48</v>
      </c>
      <c r="AB60" s="14" t="s">
        <v>49</v>
      </c>
      <c r="AC60" s="14" t="s">
        <v>50</v>
      </c>
    </row>
    <row r="61" spans="1:29" ht="72" customHeight="1" x14ac:dyDescent="0.25">
      <c r="A61" s="2" t="s">
        <v>382</v>
      </c>
      <c r="B61" s="2" t="s">
        <v>383</v>
      </c>
      <c r="C61" s="2" t="s">
        <v>32</v>
      </c>
      <c r="D61" s="2" t="s">
        <v>384</v>
      </c>
      <c r="E61" s="2" t="s">
        <v>384</v>
      </c>
      <c r="F61" s="2" t="s">
        <v>385</v>
      </c>
      <c r="G61" s="2" t="s">
        <v>393</v>
      </c>
      <c r="H61" s="3" t="s">
        <v>394</v>
      </c>
      <c r="I61" s="4" t="s">
        <v>388</v>
      </c>
      <c r="J61" s="4" t="s">
        <v>220</v>
      </c>
      <c r="K61" s="4" t="s">
        <v>389</v>
      </c>
      <c r="L61" s="2" t="s">
        <v>393</v>
      </c>
      <c r="M61" s="2" t="s">
        <v>395</v>
      </c>
      <c r="N61" s="4" t="s">
        <v>61</v>
      </c>
      <c r="O61" s="4" t="s">
        <v>42</v>
      </c>
      <c r="P61" s="2" t="s">
        <v>396</v>
      </c>
      <c r="Q61" s="2" t="s">
        <v>353</v>
      </c>
      <c r="R61" s="2" t="s">
        <v>395</v>
      </c>
      <c r="S61" s="2" t="s">
        <v>397</v>
      </c>
      <c r="T61" s="2" t="s">
        <v>395</v>
      </c>
      <c r="U61" s="2" t="s">
        <v>925</v>
      </c>
      <c r="V61" s="4" t="s">
        <v>925</v>
      </c>
      <c r="W61" s="3" t="s">
        <v>394</v>
      </c>
      <c r="X61" s="2"/>
      <c r="Y61" s="4"/>
      <c r="Z61" s="4"/>
      <c r="AA61" s="14" t="s">
        <v>48</v>
      </c>
      <c r="AB61" s="14" t="s">
        <v>49</v>
      </c>
      <c r="AC61" s="14" t="s">
        <v>50</v>
      </c>
    </row>
    <row r="62" spans="1:29" ht="72" customHeight="1" x14ac:dyDescent="0.25">
      <c r="A62" s="2" t="s">
        <v>382</v>
      </c>
      <c r="B62" s="2" t="s">
        <v>383</v>
      </c>
      <c r="C62" s="2" t="s">
        <v>32</v>
      </c>
      <c r="D62" s="2" t="s">
        <v>384</v>
      </c>
      <c r="E62" s="2" t="s">
        <v>384</v>
      </c>
      <c r="F62" s="2" t="s">
        <v>385</v>
      </c>
      <c r="G62" s="2" t="s">
        <v>398</v>
      </c>
      <c r="H62" s="3" t="s">
        <v>399</v>
      </c>
      <c r="I62" s="4" t="s">
        <v>388</v>
      </c>
      <c r="J62" s="4" t="s">
        <v>220</v>
      </c>
      <c r="K62" s="4" t="s">
        <v>389</v>
      </c>
      <c r="L62" s="2" t="s">
        <v>398</v>
      </c>
      <c r="M62" s="2" t="s">
        <v>400</v>
      </c>
      <c r="N62" s="4" t="s">
        <v>61</v>
      </c>
      <c r="O62" s="4" t="s">
        <v>42</v>
      </c>
      <c r="P62" s="2" t="s">
        <v>401</v>
      </c>
      <c r="Q62" s="2" t="s">
        <v>374</v>
      </c>
      <c r="R62" s="2" t="s">
        <v>400</v>
      </c>
      <c r="S62" s="2" t="s">
        <v>402</v>
      </c>
      <c r="T62" s="2" t="s">
        <v>400</v>
      </c>
      <c r="U62" s="2" t="s">
        <v>925</v>
      </c>
      <c r="V62" s="4" t="s">
        <v>925</v>
      </c>
      <c r="W62" s="3" t="s">
        <v>399</v>
      </c>
      <c r="X62" s="2"/>
      <c r="Y62" s="4"/>
      <c r="Z62" s="4"/>
      <c r="AA62" s="14" t="s">
        <v>48</v>
      </c>
      <c r="AB62" s="14" t="s">
        <v>49</v>
      </c>
      <c r="AC62" s="14" t="s">
        <v>50</v>
      </c>
    </row>
    <row r="63" spans="1:29" ht="72" customHeight="1" x14ac:dyDescent="0.25">
      <c r="A63" s="2" t="s">
        <v>382</v>
      </c>
      <c r="B63" s="2" t="s">
        <v>383</v>
      </c>
      <c r="C63" s="2" t="s">
        <v>32</v>
      </c>
      <c r="D63" s="2" t="s">
        <v>384</v>
      </c>
      <c r="E63" s="2" t="s">
        <v>384</v>
      </c>
      <c r="F63" s="2" t="s">
        <v>385</v>
      </c>
      <c r="G63" s="2" t="s">
        <v>403</v>
      </c>
      <c r="H63" s="3" t="s">
        <v>404</v>
      </c>
      <c r="I63" s="4" t="s">
        <v>388</v>
      </c>
      <c r="J63" s="4" t="s">
        <v>220</v>
      </c>
      <c r="K63" s="4" t="s">
        <v>389</v>
      </c>
      <c r="L63" s="2" t="s">
        <v>403</v>
      </c>
      <c r="M63" s="2" t="s">
        <v>405</v>
      </c>
      <c r="N63" s="4" t="s">
        <v>61</v>
      </c>
      <c r="O63" s="4" t="s">
        <v>42</v>
      </c>
      <c r="P63" s="2" t="s">
        <v>401</v>
      </c>
      <c r="Q63" s="2" t="s">
        <v>353</v>
      </c>
      <c r="R63" s="2" t="s">
        <v>405</v>
      </c>
      <c r="S63" s="2" t="s">
        <v>406</v>
      </c>
      <c r="T63" s="2" t="s">
        <v>405</v>
      </c>
      <c r="U63" s="2" t="s">
        <v>925</v>
      </c>
      <c r="V63" s="4" t="s">
        <v>925</v>
      </c>
      <c r="W63" s="3" t="s">
        <v>404</v>
      </c>
      <c r="X63" s="2"/>
      <c r="Y63" s="4"/>
      <c r="Z63" s="4"/>
      <c r="AA63" s="14" t="s">
        <v>48</v>
      </c>
      <c r="AB63" s="14" t="s">
        <v>49</v>
      </c>
      <c r="AC63" s="14" t="s">
        <v>50</v>
      </c>
    </row>
    <row r="64" spans="1:29" ht="72" customHeight="1" x14ac:dyDescent="0.25">
      <c r="A64" s="2" t="s">
        <v>382</v>
      </c>
      <c r="B64" s="2" t="s">
        <v>383</v>
      </c>
      <c r="C64" s="2" t="s">
        <v>32</v>
      </c>
      <c r="D64" s="2" t="s">
        <v>384</v>
      </c>
      <c r="E64" s="2" t="s">
        <v>384</v>
      </c>
      <c r="F64" s="2" t="s">
        <v>385</v>
      </c>
      <c r="G64" s="2" t="s">
        <v>407</v>
      </c>
      <c r="H64" s="3" t="s">
        <v>408</v>
      </c>
      <c r="I64" s="4" t="s">
        <v>388</v>
      </c>
      <c r="J64" s="4" t="s">
        <v>220</v>
      </c>
      <c r="K64" s="4" t="s">
        <v>389</v>
      </c>
      <c r="L64" s="2" t="s">
        <v>407</v>
      </c>
      <c r="M64" s="2" t="s">
        <v>409</v>
      </c>
      <c r="N64" s="4" t="s">
        <v>61</v>
      </c>
      <c r="O64" s="4" t="s">
        <v>42</v>
      </c>
      <c r="P64" s="2" t="s">
        <v>410</v>
      </c>
      <c r="Q64" s="2" t="s">
        <v>353</v>
      </c>
      <c r="R64" s="2" t="s">
        <v>409</v>
      </c>
      <c r="S64" s="2" t="s">
        <v>1075</v>
      </c>
      <c r="T64" s="2" t="s">
        <v>409</v>
      </c>
      <c r="U64" s="2" t="s">
        <v>925</v>
      </c>
      <c r="V64" s="4" t="s">
        <v>925</v>
      </c>
      <c r="W64" s="3" t="s">
        <v>408</v>
      </c>
      <c r="X64" s="2"/>
      <c r="Y64" s="4"/>
      <c r="Z64" s="4"/>
      <c r="AA64" s="14" t="s">
        <v>48</v>
      </c>
      <c r="AB64" s="14" t="s">
        <v>49</v>
      </c>
      <c r="AC64" s="14" t="s">
        <v>50</v>
      </c>
    </row>
    <row r="65" spans="1:29" ht="72" customHeight="1" x14ac:dyDescent="0.25">
      <c r="A65" s="2" t="s">
        <v>382</v>
      </c>
      <c r="B65" s="2" t="s">
        <v>383</v>
      </c>
      <c r="C65" s="2" t="s">
        <v>32</v>
      </c>
      <c r="D65" s="2" t="s">
        <v>384</v>
      </c>
      <c r="E65" s="2" t="s">
        <v>384</v>
      </c>
      <c r="F65" s="2" t="s">
        <v>385</v>
      </c>
      <c r="G65" s="2" t="s">
        <v>411</v>
      </c>
      <c r="H65" s="3" t="s">
        <v>412</v>
      </c>
      <c r="I65" s="4" t="s">
        <v>388</v>
      </c>
      <c r="J65" s="4" t="s">
        <v>220</v>
      </c>
      <c r="K65" s="4" t="s">
        <v>389</v>
      </c>
      <c r="L65" s="2" t="s">
        <v>411</v>
      </c>
      <c r="M65" s="2" t="s">
        <v>413</v>
      </c>
      <c r="N65" s="4" t="s">
        <v>61</v>
      </c>
      <c r="O65" s="4" t="s">
        <v>42</v>
      </c>
      <c r="P65" s="2" t="s">
        <v>414</v>
      </c>
      <c r="Q65" s="2" t="s">
        <v>353</v>
      </c>
      <c r="R65" s="2" t="s">
        <v>413</v>
      </c>
      <c r="S65" s="2" t="s">
        <v>1074</v>
      </c>
      <c r="T65" s="2" t="s">
        <v>413</v>
      </c>
      <c r="U65" s="2" t="s">
        <v>925</v>
      </c>
      <c r="V65" s="4" t="s">
        <v>925</v>
      </c>
      <c r="W65" s="3" t="s">
        <v>412</v>
      </c>
      <c r="X65" s="2"/>
      <c r="Y65" s="4"/>
      <c r="Z65" s="4"/>
      <c r="AA65" s="14" t="s">
        <v>48</v>
      </c>
      <c r="AB65" s="14" t="s">
        <v>49</v>
      </c>
      <c r="AC65" s="14" t="s">
        <v>50</v>
      </c>
    </row>
    <row r="66" spans="1:29" ht="72" customHeight="1" x14ac:dyDescent="0.25">
      <c r="A66" s="2" t="s">
        <v>382</v>
      </c>
      <c r="B66" s="2" t="s">
        <v>383</v>
      </c>
      <c r="C66" s="2" t="s">
        <v>32</v>
      </c>
      <c r="D66" s="2" t="s">
        <v>384</v>
      </c>
      <c r="E66" s="2" t="s">
        <v>384</v>
      </c>
      <c r="F66" s="2" t="s">
        <v>385</v>
      </c>
      <c r="G66" s="2" t="s">
        <v>415</v>
      </c>
      <c r="H66" s="3" t="s">
        <v>416</v>
      </c>
      <c r="I66" s="4" t="s">
        <v>388</v>
      </c>
      <c r="J66" s="4" t="s">
        <v>220</v>
      </c>
      <c r="K66" s="4" t="s">
        <v>389</v>
      </c>
      <c r="L66" s="2" t="s">
        <v>415</v>
      </c>
      <c r="M66" s="2" t="s">
        <v>417</v>
      </c>
      <c r="N66" s="4" t="s">
        <v>61</v>
      </c>
      <c r="O66" s="4" t="s">
        <v>42</v>
      </c>
      <c r="P66" s="2" t="s">
        <v>418</v>
      </c>
      <c r="Q66" s="2" t="s">
        <v>374</v>
      </c>
      <c r="R66" s="2" t="s">
        <v>417</v>
      </c>
      <c r="S66" s="2" t="s">
        <v>419</v>
      </c>
      <c r="T66" s="2" t="s">
        <v>417</v>
      </c>
      <c r="U66" s="2" t="s">
        <v>925</v>
      </c>
      <c r="V66" s="4" t="s">
        <v>925</v>
      </c>
      <c r="W66" s="3" t="s">
        <v>416</v>
      </c>
      <c r="X66" s="2"/>
      <c r="Y66" s="4"/>
      <c r="Z66" s="4"/>
      <c r="AA66" s="14" t="s">
        <v>48</v>
      </c>
      <c r="AB66" s="14" t="s">
        <v>49</v>
      </c>
      <c r="AC66" s="14" t="s">
        <v>50</v>
      </c>
    </row>
    <row r="67" spans="1:29" ht="72" customHeight="1" x14ac:dyDescent="0.25">
      <c r="A67" s="2" t="s">
        <v>382</v>
      </c>
      <c r="B67" s="2" t="s">
        <v>383</v>
      </c>
      <c r="C67" s="2" t="s">
        <v>32</v>
      </c>
      <c r="D67" s="2" t="s">
        <v>384</v>
      </c>
      <c r="E67" s="2" t="s">
        <v>384</v>
      </c>
      <c r="F67" s="2" t="s">
        <v>385</v>
      </c>
      <c r="G67" s="2" t="s">
        <v>420</v>
      </c>
      <c r="H67" s="3" t="s">
        <v>421</v>
      </c>
      <c r="I67" s="4" t="s">
        <v>388</v>
      </c>
      <c r="J67" s="4" t="s">
        <v>220</v>
      </c>
      <c r="K67" s="4" t="s">
        <v>389</v>
      </c>
      <c r="L67" s="2" t="s">
        <v>420</v>
      </c>
      <c r="M67" s="2" t="s">
        <v>422</v>
      </c>
      <c r="N67" s="4" t="s">
        <v>61</v>
      </c>
      <c r="O67" s="4" t="s">
        <v>42</v>
      </c>
      <c r="P67" s="2" t="s">
        <v>423</v>
      </c>
      <c r="Q67" s="2" t="s">
        <v>353</v>
      </c>
      <c r="R67" s="2" t="s">
        <v>422</v>
      </c>
      <c r="S67" s="2" t="s">
        <v>424</v>
      </c>
      <c r="T67" s="2" t="s">
        <v>422</v>
      </c>
      <c r="U67" s="2" t="s">
        <v>925</v>
      </c>
      <c r="V67" s="4" t="s">
        <v>925</v>
      </c>
      <c r="W67" s="3" t="s">
        <v>421</v>
      </c>
      <c r="X67" s="2"/>
      <c r="Y67" s="4"/>
      <c r="Z67" s="4"/>
      <c r="AA67" s="14" t="s">
        <v>48</v>
      </c>
      <c r="AB67" s="14" t="s">
        <v>49</v>
      </c>
      <c r="AC67" s="14" t="s">
        <v>50</v>
      </c>
    </row>
    <row r="68" spans="1:29" ht="72" customHeight="1" x14ac:dyDescent="0.25">
      <c r="A68" s="2" t="s">
        <v>382</v>
      </c>
      <c r="B68" s="2" t="s">
        <v>383</v>
      </c>
      <c r="C68" s="2" t="s">
        <v>32</v>
      </c>
      <c r="D68" s="2" t="s">
        <v>384</v>
      </c>
      <c r="E68" s="2" t="s">
        <v>384</v>
      </c>
      <c r="F68" s="2" t="s">
        <v>385</v>
      </c>
      <c r="G68" s="2" t="s">
        <v>425</v>
      </c>
      <c r="H68" s="3" t="s">
        <v>426</v>
      </c>
      <c r="I68" s="4" t="s">
        <v>388</v>
      </c>
      <c r="J68" s="4" t="s">
        <v>220</v>
      </c>
      <c r="K68" s="4" t="s">
        <v>389</v>
      </c>
      <c r="L68" s="2" t="s">
        <v>425</v>
      </c>
      <c r="M68" s="2" t="s">
        <v>427</v>
      </c>
      <c r="N68" s="4" t="s">
        <v>61</v>
      </c>
      <c r="O68" s="4" t="s">
        <v>42</v>
      </c>
      <c r="P68" s="2" t="s">
        <v>428</v>
      </c>
      <c r="Q68" s="2" t="s">
        <v>353</v>
      </c>
      <c r="R68" s="2" t="s">
        <v>427</v>
      </c>
      <c r="S68" s="2" t="s">
        <v>429</v>
      </c>
      <c r="T68" s="2" t="s">
        <v>427</v>
      </c>
      <c r="U68" s="2" t="s">
        <v>925</v>
      </c>
      <c r="V68" s="4" t="s">
        <v>925</v>
      </c>
      <c r="W68" s="3" t="s">
        <v>426</v>
      </c>
      <c r="X68" s="2"/>
      <c r="Y68" s="4"/>
      <c r="Z68" s="4"/>
      <c r="AA68" s="14" t="s">
        <v>48</v>
      </c>
      <c r="AB68" s="14" t="s">
        <v>49</v>
      </c>
      <c r="AC68" s="14" t="s">
        <v>50</v>
      </c>
    </row>
    <row r="69" spans="1:29" ht="72" customHeight="1" x14ac:dyDescent="0.25">
      <c r="A69" s="2" t="s">
        <v>382</v>
      </c>
      <c r="B69" s="2" t="s">
        <v>383</v>
      </c>
      <c r="C69" s="2" t="s">
        <v>32</v>
      </c>
      <c r="D69" s="2" t="s">
        <v>384</v>
      </c>
      <c r="E69" s="2" t="s">
        <v>384</v>
      </c>
      <c r="F69" s="2" t="s">
        <v>385</v>
      </c>
      <c r="G69" s="2" t="s">
        <v>430</v>
      </c>
      <c r="H69" s="3" t="s">
        <v>431</v>
      </c>
      <c r="I69" s="4" t="s">
        <v>388</v>
      </c>
      <c r="J69" s="4" t="s">
        <v>220</v>
      </c>
      <c r="K69" s="4" t="s">
        <v>389</v>
      </c>
      <c r="L69" s="2" t="s">
        <v>430</v>
      </c>
      <c r="M69" s="2" t="s">
        <v>432</v>
      </c>
      <c r="N69" s="4" t="s">
        <v>61</v>
      </c>
      <c r="O69" s="4" t="s">
        <v>42</v>
      </c>
      <c r="P69" s="2" t="s">
        <v>433</v>
      </c>
      <c r="Q69" s="2" t="s">
        <v>353</v>
      </c>
      <c r="R69" s="2" t="s">
        <v>432</v>
      </c>
      <c r="S69" s="2" t="s">
        <v>434</v>
      </c>
      <c r="T69" s="2" t="s">
        <v>432</v>
      </c>
      <c r="U69" s="2" t="s">
        <v>925</v>
      </c>
      <c r="V69" s="4" t="s">
        <v>925</v>
      </c>
      <c r="W69" s="3" t="s">
        <v>431</v>
      </c>
      <c r="X69" s="2"/>
      <c r="Y69" s="4"/>
      <c r="Z69" s="4"/>
      <c r="AA69" s="14" t="s">
        <v>48</v>
      </c>
      <c r="AB69" s="14" t="s">
        <v>49</v>
      </c>
      <c r="AC69" s="14" t="s">
        <v>50</v>
      </c>
    </row>
    <row r="70" spans="1:29" ht="72" customHeight="1" x14ac:dyDescent="0.25">
      <c r="A70" s="2" t="s">
        <v>382</v>
      </c>
      <c r="B70" s="2" t="s">
        <v>383</v>
      </c>
      <c r="C70" s="2" t="s">
        <v>32</v>
      </c>
      <c r="D70" s="2" t="s">
        <v>435</v>
      </c>
      <c r="E70" s="2" t="s">
        <v>435</v>
      </c>
      <c r="F70" s="2" t="s">
        <v>436</v>
      </c>
      <c r="G70" s="2" t="s">
        <v>1076</v>
      </c>
      <c r="H70" s="3" t="s">
        <v>437</v>
      </c>
      <c r="I70" s="4" t="s">
        <v>388</v>
      </c>
      <c r="J70" s="4" t="s">
        <v>438</v>
      </c>
      <c r="K70" s="4" t="s">
        <v>439</v>
      </c>
      <c r="L70" s="2" t="s">
        <v>1076</v>
      </c>
      <c r="M70" s="2" t="s">
        <v>1077</v>
      </c>
      <c r="N70" s="4" t="s">
        <v>61</v>
      </c>
      <c r="O70" s="4" t="s">
        <v>42</v>
      </c>
      <c r="P70" s="2" t="s">
        <v>1078</v>
      </c>
      <c r="Q70" s="2" t="s">
        <v>1080</v>
      </c>
      <c r="R70" s="2" t="s">
        <v>440</v>
      </c>
      <c r="S70" s="2" t="s">
        <v>442</v>
      </c>
      <c r="T70" s="2" t="s">
        <v>440</v>
      </c>
      <c r="U70" s="2" t="s">
        <v>925</v>
      </c>
      <c r="V70" s="4" t="s">
        <v>925</v>
      </c>
      <c r="W70" s="3" t="s">
        <v>437</v>
      </c>
      <c r="X70" s="2"/>
      <c r="Y70" s="4"/>
      <c r="Z70" s="4"/>
      <c r="AA70" s="14" t="s">
        <v>48</v>
      </c>
      <c r="AB70" s="14" t="s">
        <v>49</v>
      </c>
      <c r="AC70" s="14" t="s">
        <v>50</v>
      </c>
    </row>
    <row r="71" spans="1:29" ht="72" customHeight="1" x14ac:dyDescent="0.25">
      <c r="A71" s="2" t="s">
        <v>382</v>
      </c>
      <c r="B71" s="2" t="s">
        <v>383</v>
      </c>
      <c r="C71" s="2" t="s">
        <v>32</v>
      </c>
      <c r="D71" s="2" t="s">
        <v>435</v>
      </c>
      <c r="E71" s="2" t="s">
        <v>435</v>
      </c>
      <c r="F71" s="2" t="s">
        <v>436</v>
      </c>
      <c r="G71" s="2" t="s">
        <v>443</v>
      </c>
      <c r="H71" s="3" t="s">
        <v>444</v>
      </c>
      <c r="I71" s="4" t="s">
        <v>388</v>
      </c>
      <c r="J71" s="4" t="s">
        <v>438</v>
      </c>
      <c r="K71" s="4" t="s">
        <v>439</v>
      </c>
      <c r="L71" s="2" t="s">
        <v>443</v>
      </c>
      <c r="M71" s="2" t="s">
        <v>445</v>
      </c>
      <c r="N71" s="4" t="s">
        <v>61</v>
      </c>
      <c r="O71" s="4" t="s">
        <v>42</v>
      </c>
      <c r="P71" s="2" t="s">
        <v>446</v>
      </c>
      <c r="Q71" s="2" t="s">
        <v>1080</v>
      </c>
      <c r="R71" s="2" t="s">
        <v>445</v>
      </c>
      <c r="S71" s="2" t="s">
        <v>447</v>
      </c>
      <c r="T71" s="2" t="s">
        <v>445</v>
      </c>
      <c r="U71" s="2" t="s">
        <v>925</v>
      </c>
      <c r="V71" s="4" t="s">
        <v>925</v>
      </c>
      <c r="W71" s="3" t="s">
        <v>444</v>
      </c>
      <c r="X71" s="2"/>
      <c r="Y71" s="4"/>
      <c r="Z71" s="4"/>
      <c r="AA71" s="14" t="s">
        <v>48</v>
      </c>
      <c r="AB71" s="14" t="s">
        <v>49</v>
      </c>
      <c r="AC71" s="14" t="s">
        <v>50</v>
      </c>
    </row>
    <row r="72" spans="1:29" ht="72" customHeight="1" x14ac:dyDescent="0.25">
      <c r="A72" s="2" t="s">
        <v>382</v>
      </c>
      <c r="B72" s="2" t="s">
        <v>383</v>
      </c>
      <c r="C72" s="2" t="s">
        <v>32</v>
      </c>
      <c r="D72" s="2" t="s">
        <v>435</v>
      </c>
      <c r="E72" s="2" t="s">
        <v>435</v>
      </c>
      <c r="F72" s="2" t="s">
        <v>436</v>
      </c>
      <c r="G72" s="2" t="s">
        <v>448</v>
      </c>
      <c r="H72" s="3" t="s">
        <v>449</v>
      </c>
      <c r="I72" s="4" t="s">
        <v>388</v>
      </c>
      <c r="J72" s="4" t="s">
        <v>438</v>
      </c>
      <c r="K72" s="4" t="s">
        <v>439</v>
      </c>
      <c r="L72" s="2" t="s">
        <v>448</v>
      </c>
      <c r="M72" s="2" t="s">
        <v>450</v>
      </c>
      <c r="N72" s="4" t="s">
        <v>61</v>
      </c>
      <c r="O72" s="4" t="s">
        <v>42</v>
      </c>
      <c r="P72" s="2" t="s">
        <v>451</v>
      </c>
      <c r="Q72" s="2" t="s">
        <v>1080</v>
      </c>
      <c r="R72" s="2" t="s">
        <v>450</v>
      </c>
      <c r="S72" s="2" t="s">
        <v>452</v>
      </c>
      <c r="T72" s="2" t="s">
        <v>450</v>
      </c>
      <c r="U72" s="2" t="s">
        <v>925</v>
      </c>
      <c r="V72" s="4" t="s">
        <v>925</v>
      </c>
      <c r="W72" s="3" t="s">
        <v>449</v>
      </c>
      <c r="X72" s="2"/>
      <c r="Y72" s="4"/>
      <c r="Z72" s="4"/>
      <c r="AA72" s="14" t="s">
        <v>48</v>
      </c>
      <c r="AB72" s="14" t="s">
        <v>49</v>
      </c>
      <c r="AC72" s="14" t="s">
        <v>50</v>
      </c>
    </row>
    <row r="73" spans="1:29" ht="72" customHeight="1" x14ac:dyDescent="0.25">
      <c r="A73" s="2" t="s">
        <v>382</v>
      </c>
      <c r="B73" s="2" t="s">
        <v>383</v>
      </c>
      <c r="C73" s="2" t="s">
        <v>32</v>
      </c>
      <c r="D73" s="2" t="s">
        <v>435</v>
      </c>
      <c r="E73" s="2" t="s">
        <v>435</v>
      </c>
      <c r="F73" s="2" t="s">
        <v>436</v>
      </c>
      <c r="G73" s="2" t="s">
        <v>453</v>
      </c>
      <c r="H73" s="3" t="s">
        <v>454</v>
      </c>
      <c r="I73" s="4" t="s">
        <v>388</v>
      </c>
      <c r="J73" s="4" t="s">
        <v>438</v>
      </c>
      <c r="K73" s="4" t="s">
        <v>439</v>
      </c>
      <c r="L73" s="2" t="s">
        <v>453</v>
      </c>
      <c r="M73" s="2" t="s">
        <v>455</v>
      </c>
      <c r="N73" s="4" t="s">
        <v>61</v>
      </c>
      <c r="O73" s="4" t="s">
        <v>42</v>
      </c>
      <c r="P73" s="2" t="s">
        <v>456</v>
      </c>
      <c r="Q73" s="2" t="s">
        <v>1079</v>
      </c>
      <c r="R73" s="2" t="s">
        <v>455</v>
      </c>
      <c r="S73" s="2" t="s">
        <v>457</v>
      </c>
      <c r="T73" s="2" t="s">
        <v>455</v>
      </c>
      <c r="U73" s="2" t="s">
        <v>925</v>
      </c>
      <c r="V73" s="4" t="s">
        <v>925</v>
      </c>
      <c r="W73" s="3" t="s">
        <v>454</v>
      </c>
      <c r="X73" s="2"/>
      <c r="Y73" s="4"/>
      <c r="Z73" s="4"/>
      <c r="AA73" s="14" t="s">
        <v>48</v>
      </c>
      <c r="AB73" s="14" t="s">
        <v>49</v>
      </c>
      <c r="AC73" s="14" t="s">
        <v>50</v>
      </c>
    </row>
    <row r="74" spans="1:29" ht="72" customHeight="1" x14ac:dyDescent="0.25">
      <c r="A74" s="2" t="s">
        <v>382</v>
      </c>
      <c r="B74" s="2" t="s">
        <v>383</v>
      </c>
      <c r="C74" s="2" t="s">
        <v>32</v>
      </c>
      <c r="D74" s="2" t="s">
        <v>435</v>
      </c>
      <c r="E74" s="2" t="s">
        <v>435</v>
      </c>
      <c r="F74" s="2" t="s">
        <v>436</v>
      </c>
      <c r="G74" s="2" t="s">
        <v>458</v>
      </c>
      <c r="H74" s="3" t="s">
        <v>459</v>
      </c>
      <c r="I74" s="4" t="s">
        <v>388</v>
      </c>
      <c r="J74" s="4" t="s">
        <v>438</v>
      </c>
      <c r="K74" s="4" t="s">
        <v>439</v>
      </c>
      <c r="L74" s="2" t="s">
        <v>458</v>
      </c>
      <c r="M74" s="2" t="s">
        <v>460</v>
      </c>
      <c r="N74" s="4" t="s">
        <v>61</v>
      </c>
      <c r="O74" s="4" t="s">
        <v>42</v>
      </c>
      <c r="P74" s="2" t="s">
        <v>461</v>
      </c>
      <c r="Q74" s="2" t="s">
        <v>1080</v>
      </c>
      <c r="R74" s="2" t="s">
        <v>460</v>
      </c>
      <c r="S74" s="2" t="s">
        <v>462</v>
      </c>
      <c r="T74" s="2" t="s">
        <v>460</v>
      </c>
      <c r="U74" s="2" t="s">
        <v>925</v>
      </c>
      <c r="V74" s="4" t="s">
        <v>925</v>
      </c>
      <c r="W74" s="3" t="s">
        <v>459</v>
      </c>
      <c r="X74" s="2"/>
      <c r="Y74" s="4"/>
      <c r="Z74" s="4"/>
      <c r="AA74" s="14" t="s">
        <v>48</v>
      </c>
      <c r="AB74" s="14" t="s">
        <v>49</v>
      </c>
      <c r="AC74" s="14" t="s">
        <v>50</v>
      </c>
    </row>
    <row r="75" spans="1:29" ht="72" customHeight="1" x14ac:dyDescent="0.25">
      <c r="A75" s="2" t="s">
        <v>382</v>
      </c>
      <c r="B75" s="2" t="s">
        <v>383</v>
      </c>
      <c r="C75" s="2" t="s">
        <v>32</v>
      </c>
      <c r="D75" s="2" t="s">
        <v>463</v>
      </c>
      <c r="E75" s="2" t="s">
        <v>463</v>
      </c>
      <c r="F75" s="2" t="s">
        <v>464</v>
      </c>
      <c r="G75" s="2" t="s">
        <v>465</v>
      </c>
      <c r="H75" s="3" t="s">
        <v>466</v>
      </c>
      <c r="I75" s="4" t="s">
        <v>388</v>
      </c>
      <c r="J75" s="4" t="s">
        <v>467</v>
      </c>
      <c r="K75" s="4" t="s">
        <v>468</v>
      </c>
      <c r="L75" s="2" t="s">
        <v>465</v>
      </c>
      <c r="M75" s="2" t="s">
        <v>469</v>
      </c>
      <c r="N75" s="4" t="s">
        <v>61</v>
      </c>
      <c r="O75" s="4" t="s">
        <v>42</v>
      </c>
      <c r="P75" s="2" t="s">
        <v>470</v>
      </c>
      <c r="Q75" s="2" t="s">
        <v>1081</v>
      </c>
      <c r="R75" s="2" t="s">
        <v>469</v>
      </c>
      <c r="S75" s="2" t="s">
        <v>471</v>
      </c>
      <c r="T75" s="2" t="s">
        <v>469</v>
      </c>
      <c r="U75" s="2" t="s">
        <v>925</v>
      </c>
      <c r="V75" s="4" t="s">
        <v>925</v>
      </c>
      <c r="W75" s="3" t="s">
        <v>466</v>
      </c>
      <c r="X75" s="2"/>
      <c r="Y75" s="4"/>
      <c r="Z75" s="4"/>
      <c r="AA75" s="14" t="s">
        <v>48</v>
      </c>
      <c r="AB75" s="14" t="s">
        <v>49</v>
      </c>
      <c r="AC75" s="14" t="s">
        <v>50</v>
      </c>
    </row>
    <row r="76" spans="1:29" ht="72" customHeight="1" x14ac:dyDescent="0.25">
      <c r="A76" s="2" t="s">
        <v>382</v>
      </c>
      <c r="B76" s="2" t="s">
        <v>383</v>
      </c>
      <c r="C76" s="2" t="s">
        <v>32</v>
      </c>
      <c r="D76" s="2" t="s">
        <v>463</v>
      </c>
      <c r="E76" s="2" t="s">
        <v>463</v>
      </c>
      <c r="F76" s="2" t="s">
        <v>464</v>
      </c>
      <c r="G76" s="2" t="s">
        <v>472</v>
      </c>
      <c r="H76" s="3" t="s">
        <v>473</v>
      </c>
      <c r="I76" s="4" t="s">
        <v>388</v>
      </c>
      <c r="J76" s="4" t="s">
        <v>467</v>
      </c>
      <c r="K76" s="4" t="s">
        <v>468</v>
      </c>
      <c r="L76" s="2" t="s">
        <v>472</v>
      </c>
      <c r="M76" s="2" t="s">
        <v>474</v>
      </c>
      <c r="N76" s="4" t="s">
        <v>61</v>
      </c>
      <c r="O76" s="4" t="s">
        <v>42</v>
      </c>
      <c r="P76" s="2" t="s">
        <v>475</v>
      </c>
      <c r="Q76" s="2" t="s">
        <v>1082</v>
      </c>
      <c r="R76" s="2" t="s">
        <v>474</v>
      </c>
      <c r="S76" s="2" t="s">
        <v>476</v>
      </c>
      <c r="T76" s="2" t="s">
        <v>474</v>
      </c>
      <c r="U76" s="2" t="s">
        <v>925</v>
      </c>
      <c r="V76" s="4" t="s">
        <v>925</v>
      </c>
      <c r="W76" s="3" t="s">
        <v>473</v>
      </c>
      <c r="X76" s="2"/>
      <c r="Y76" s="4"/>
      <c r="Z76" s="4"/>
      <c r="AA76" s="14" t="s">
        <v>48</v>
      </c>
      <c r="AB76" s="14" t="s">
        <v>49</v>
      </c>
      <c r="AC76" s="14" t="s">
        <v>50</v>
      </c>
    </row>
    <row r="77" spans="1:29" ht="72" customHeight="1" x14ac:dyDescent="0.25">
      <c r="A77" s="2" t="s">
        <v>382</v>
      </c>
      <c r="B77" s="2" t="s">
        <v>383</v>
      </c>
      <c r="C77" s="2" t="s">
        <v>32</v>
      </c>
      <c r="D77" s="2" t="s">
        <v>463</v>
      </c>
      <c r="E77" s="2" t="s">
        <v>463</v>
      </c>
      <c r="F77" s="2" t="s">
        <v>464</v>
      </c>
      <c r="G77" s="2" t="s">
        <v>477</v>
      </c>
      <c r="H77" s="3" t="s">
        <v>478</v>
      </c>
      <c r="I77" s="4" t="s">
        <v>388</v>
      </c>
      <c r="J77" s="4" t="s">
        <v>467</v>
      </c>
      <c r="K77" s="4" t="s">
        <v>468</v>
      </c>
      <c r="L77" s="2" t="s">
        <v>477</v>
      </c>
      <c r="M77" s="2" t="s">
        <v>479</v>
      </c>
      <c r="N77" s="4" t="s">
        <v>61</v>
      </c>
      <c r="O77" s="4" t="s">
        <v>42</v>
      </c>
      <c r="P77" s="2" t="s">
        <v>480</v>
      </c>
      <c r="Q77" s="2" t="s">
        <v>1081</v>
      </c>
      <c r="R77" s="2" t="s">
        <v>479</v>
      </c>
      <c r="S77" s="2" t="s">
        <v>481</v>
      </c>
      <c r="T77" s="2" t="s">
        <v>479</v>
      </c>
      <c r="U77" s="2" t="s">
        <v>925</v>
      </c>
      <c r="V77" s="4" t="s">
        <v>925</v>
      </c>
      <c r="W77" s="3" t="s">
        <v>478</v>
      </c>
      <c r="X77" s="2"/>
      <c r="Y77" s="4"/>
      <c r="Z77" s="4"/>
      <c r="AA77" s="14" t="s">
        <v>48</v>
      </c>
      <c r="AB77" s="14" t="s">
        <v>49</v>
      </c>
      <c r="AC77" s="14" t="s">
        <v>50</v>
      </c>
    </row>
    <row r="78" spans="1:29" ht="72" customHeight="1" x14ac:dyDescent="0.25">
      <c r="A78" s="2" t="s">
        <v>382</v>
      </c>
      <c r="B78" s="2" t="s">
        <v>383</v>
      </c>
      <c r="C78" s="2" t="s">
        <v>32</v>
      </c>
      <c r="D78" s="2" t="s">
        <v>463</v>
      </c>
      <c r="E78" s="2" t="s">
        <v>463</v>
      </c>
      <c r="F78" s="2" t="s">
        <v>464</v>
      </c>
      <c r="G78" s="2" t="s">
        <v>482</v>
      </c>
      <c r="H78" s="3" t="s">
        <v>483</v>
      </c>
      <c r="I78" s="4" t="s">
        <v>388</v>
      </c>
      <c r="J78" s="4" t="s">
        <v>467</v>
      </c>
      <c r="K78" s="4" t="s">
        <v>468</v>
      </c>
      <c r="L78" s="2" t="s">
        <v>482</v>
      </c>
      <c r="M78" s="2" t="s">
        <v>484</v>
      </c>
      <c r="N78" s="4" t="s">
        <v>61</v>
      </c>
      <c r="O78" s="4" t="s">
        <v>42</v>
      </c>
      <c r="P78" s="2" t="s">
        <v>485</v>
      </c>
      <c r="Q78" s="2" t="s">
        <v>1081</v>
      </c>
      <c r="R78" s="2" t="s">
        <v>484</v>
      </c>
      <c r="S78" s="2" t="s">
        <v>486</v>
      </c>
      <c r="T78" s="2" t="s">
        <v>484</v>
      </c>
      <c r="U78" s="2" t="s">
        <v>925</v>
      </c>
      <c r="V78" s="4" t="s">
        <v>925</v>
      </c>
      <c r="W78" s="3" t="s">
        <v>483</v>
      </c>
      <c r="X78" s="2"/>
      <c r="Y78" s="4"/>
      <c r="Z78" s="4"/>
      <c r="AA78" s="14" t="s">
        <v>48</v>
      </c>
      <c r="AB78" s="14" t="s">
        <v>49</v>
      </c>
      <c r="AC78" s="14" t="s">
        <v>50</v>
      </c>
    </row>
    <row r="79" spans="1:29" ht="72" customHeight="1" x14ac:dyDescent="0.25">
      <c r="A79" s="2" t="s">
        <v>382</v>
      </c>
      <c r="B79" s="2" t="s">
        <v>383</v>
      </c>
      <c r="C79" s="2" t="s">
        <v>32</v>
      </c>
      <c r="D79" s="2" t="s">
        <v>463</v>
      </c>
      <c r="E79" s="2" t="s">
        <v>463</v>
      </c>
      <c r="F79" s="2" t="s">
        <v>464</v>
      </c>
      <c r="G79" s="2" t="s">
        <v>487</v>
      </c>
      <c r="H79" s="3" t="s">
        <v>488</v>
      </c>
      <c r="I79" s="4" t="s">
        <v>388</v>
      </c>
      <c r="J79" s="4" t="s">
        <v>467</v>
      </c>
      <c r="K79" s="4" t="s">
        <v>468</v>
      </c>
      <c r="L79" s="2" t="s">
        <v>487</v>
      </c>
      <c r="M79" s="2" t="s">
        <v>489</v>
      </c>
      <c r="N79" s="4" t="s">
        <v>61</v>
      </c>
      <c r="O79" s="4" t="s">
        <v>42</v>
      </c>
      <c r="P79" s="2" t="s">
        <v>490</v>
      </c>
      <c r="Q79" s="2" t="s">
        <v>1081</v>
      </c>
      <c r="R79" s="2" t="s">
        <v>489</v>
      </c>
      <c r="S79" s="2" t="s">
        <v>491</v>
      </c>
      <c r="T79" s="2" t="s">
        <v>489</v>
      </c>
      <c r="U79" s="2" t="s">
        <v>925</v>
      </c>
      <c r="V79" s="4" t="s">
        <v>925</v>
      </c>
      <c r="W79" s="3" t="s">
        <v>488</v>
      </c>
      <c r="X79" s="2"/>
      <c r="Y79" s="4"/>
      <c r="Z79" s="4"/>
      <c r="AA79" s="14" t="s">
        <v>48</v>
      </c>
      <c r="AB79" s="14" t="s">
        <v>49</v>
      </c>
      <c r="AC79" s="14" t="s">
        <v>50</v>
      </c>
    </row>
    <row r="80" spans="1:29" ht="72" customHeight="1" x14ac:dyDescent="0.25">
      <c r="A80" s="2" t="s">
        <v>382</v>
      </c>
      <c r="B80" s="2" t="s">
        <v>383</v>
      </c>
      <c r="C80" s="2" t="s">
        <v>32</v>
      </c>
      <c r="D80" s="2" t="s">
        <v>492</v>
      </c>
      <c r="E80" s="2" t="s">
        <v>492</v>
      </c>
      <c r="F80" s="2" t="s">
        <v>493</v>
      </c>
      <c r="G80" s="2" t="s">
        <v>494</v>
      </c>
      <c r="H80" s="3" t="s">
        <v>495</v>
      </c>
      <c r="I80" s="4" t="s">
        <v>388</v>
      </c>
      <c r="J80" s="4" t="s">
        <v>496</v>
      </c>
      <c r="K80" s="4" t="s">
        <v>497</v>
      </c>
      <c r="L80" s="2" t="s">
        <v>494</v>
      </c>
      <c r="M80" s="2" t="s">
        <v>498</v>
      </c>
      <c r="N80" s="4" t="s">
        <v>61</v>
      </c>
      <c r="O80" s="4" t="s">
        <v>42</v>
      </c>
      <c r="P80" s="2" t="s">
        <v>499</v>
      </c>
      <c r="Q80" s="2" t="s">
        <v>500</v>
      </c>
      <c r="R80" s="2" t="s">
        <v>498</v>
      </c>
      <c r="S80" s="2" t="s">
        <v>501</v>
      </c>
      <c r="T80" s="2" t="s">
        <v>498</v>
      </c>
      <c r="U80" s="2" t="s">
        <v>925</v>
      </c>
      <c r="V80" s="4" t="s">
        <v>925</v>
      </c>
      <c r="W80" s="3" t="s">
        <v>495</v>
      </c>
      <c r="X80" s="2"/>
      <c r="Y80" s="4"/>
      <c r="Z80" s="4"/>
      <c r="AA80" s="14" t="s">
        <v>48</v>
      </c>
      <c r="AB80" s="14" t="s">
        <v>49</v>
      </c>
      <c r="AC80" s="14" t="s">
        <v>50</v>
      </c>
    </row>
    <row r="81" spans="1:29" ht="72" customHeight="1" x14ac:dyDescent="0.25">
      <c r="A81" s="2" t="s">
        <v>382</v>
      </c>
      <c r="B81" s="2" t="s">
        <v>383</v>
      </c>
      <c r="C81" s="2" t="s">
        <v>32</v>
      </c>
      <c r="D81" s="2" t="s">
        <v>492</v>
      </c>
      <c r="E81" s="2" t="s">
        <v>492</v>
      </c>
      <c r="F81" s="2" t="s">
        <v>493</v>
      </c>
      <c r="G81" s="2" t="s">
        <v>502</v>
      </c>
      <c r="H81" s="3" t="s">
        <v>503</v>
      </c>
      <c r="I81" s="4" t="s">
        <v>388</v>
      </c>
      <c r="J81" s="4" t="s">
        <v>496</v>
      </c>
      <c r="K81" s="4" t="s">
        <v>497</v>
      </c>
      <c r="L81" s="2" t="s">
        <v>502</v>
      </c>
      <c r="M81" s="2" t="s">
        <v>504</v>
      </c>
      <c r="N81" s="4" t="s">
        <v>61</v>
      </c>
      <c r="O81" s="4" t="s">
        <v>42</v>
      </c>
      <c r="P81" s="2" t="s">
        <v>505</v>
      </c>
      <c r="Q81" s="2" t="s">
        <v>500</v>
      </c>
      <c r="R81" s="2" t="s">
        <v>504</v>
      </c>
      <c r="S81" s="2" t="s">
        <v>501</v>
      </c>
      <c r="T81" s="2" t="s">
        <v>504</v>
      </c>
      <c r="U81" s="2" t="s">
        <v>925</v>
      </c>
      <c r="V81" s="4" t="s">
        <v>925</v>
      </c>
      <c r="W81" s="3" t="s">
        <v>503</v>
      </c>
      <c r="X81" s="2"/>
      <c r="Y81" s="4"/>
      <c r="Z81" s="4"/>
      <c r="AA81" s="14" t="s">
        <v>48</v>
      </c>
      <c r="AB81" s="14" t="s">
        <v>49</v>
      </c>
      <c r="AC81" s="14" t="s">
        <v>50</v>
      </c>
    </row>
    <row r="82" spans="1:29" ht="72" customHeight="1" x14ac:dyDescent="0.25">
      <c r="A82" s="2" t="s">
        <v>382</v>
      </c>
      <c r="B82" s="2" t="s">
        <v>383</v>
      </c>
      <c r="C82" s="2" t="s">
        <v>32</v>
      </c>
      <c r="D82" s="2" t="s">
        <v>492</v>
      </c>
      <c r="E82" s="2" t="s">
        <v>492</v>
      </c>
      <c r="F82" s="2" t="s">
        <v>493</v>
      </c>
      <c r="G82" s="2" t="s">
        <v>506</v>
      </c>
      <c r="H82" s="3" t="s">
        <v>507</v>
      </c>
      <c r="I82" s="4" t="s">
        <v>388</v>
      </c>
      <c r="J82" s="4" t="s">
        <v>496</v>
      </c>
      <c r="K82" s="4" t="s">
        <v>497</v>
      </c>
      <c r="L82" s="2" t="s">
        <v>506</v>
      </c>
      <c r="M82" s="2" t="s">
        <v>508</v>
      </c>
      <c r="N82" s="4" t="s">
        <v>61</v>
      </c>
      <c r="O82" s="4" t="s">
        <v>42</v>
      </c>
      <c r="P82" s="2" t="s">
        <v>509</v>
      </c>
      <c r="Q82" s="2" t="s">
        <v>500</v>
      </c>
      <c r="R82" s="2" t="s">
        <v>508</v>
      </c>
      <c r="S82" s="2" t="s">
        <v>510</v>
      </c>
      <c r="T82" s="2" t="s">
        <v>508</v>
      </c>
      <c r="U82" s="2" t="s">
        <v>925</v>
      </c>
      <c r="V82" s="4" t="s">
        <v>925</v>
      </c>
      <c r="W82" s="3" t="s">
        <v>507</v>
      </c>
      <c r="X82" s="2"/>
      <c r="Y82" s="4"/>
      <c r="Z82" s="4"/>
      <c r="AA82" s="14" t="s">
        <v>48</v>
      </c>
      <c r="AB82" s="14" t="s">
        <v>49</v>
      </c>
      <c r="AC82" s="14" t="s">
        <v>50</v>
      </c>
    </row>
    <row r="83" spans="1:29" ht="72" customHeight="1" x14ac:dyDescent="0.25">
      <c r="A83" s="2" t="s">
        <v>382</v>
      </c>
      <c r="B83" s="2" t="s">
        <v>383</v>
      </c>
      <c r="C83" s="2" t="s">
        <v>32</v>
      </c>
      <c r="D83" s="2" t="s">
        <v>492</v>
      </c>
      <c r="E83" s="2" t="s">
        <v>492</v>
      </c>
      <c r="F83" s="2" t="s">
        <v>493</v>
      </c>
      <c r="G83" s="2" t="s">
        <v>511</v>
      </c>
      <c r="H83" s="3" t="s">
        <v>512</v>
      </c>
      <c r="I83" s="4" t="s">
        <v>388</v>
      </c>
      <c r="J83" s="4" t="s">
        <v>496</v>
      </c>
      <c r="K83" s="4" t="s">
        <v>497</v>
      </c>
      <c r="L83" s="2" t="s">
        <v>511</v>
      </c>
      <c r="M83" s="2" t="s">
        <v>513</v>
      </c>
      <c r="N83" s="4" t="s">
        <v>61</v>
      </c>
      <c r="O83" s="4" t="s">
        <v>42</v>
      </c>
      <c r="P83" s="2" t="s">
        <v>514</v>
      </c>
      <c r="Q83" s="2" t="s">
        <v>500</v>
      </c>
      <c r="R83" s="2" t="s">
        <v>513</v>
      </c>
      <c r="S83" s="2" t="s">
        <v>515</v>
      </c>
      <c r="T83" s="2" t="s">
        <v>513</v>
      </c>
      <c r="U83" s="2" t="s">
        <v>925</v>
      </c>
      <c r="V83" s="4" t="s">
        <v>925</v>
      </c>
      <c r="W83" s="3" t="s">
        <v>512</v>
      </c>
      <c r="X83" s="2"/>
      <c r="Y83" s="4"/>
      <c r="Z83" s="4"/>
      <c r="AA83" s="14" t="s">
        <v>48</v>
      </c>
      <c r="AB83" s="14" t="s">
        <v>49</v>
      </c>
      <c r="AC83" s="14" t="s">
        <v>50</v>
      </c>
    </row>
    <row r="84" spans="1:29" ht="72" customHeight="1" x14ac:dyDescent="0.25">
      <c r="A84" s="2" t="s">
        <v>382</v>
      </c>
      <c r="B84" s="2" t="s">
        <v>383</v>
      </c>
      <c r="C84" s="2" t="s">
        <v>32</v>
      </c>
      <c r="D84" s="2" t="s">
        <v>492</v>
      </c>
      <c r="E84" s="2" t="s">
        <v>492</v>
      </c>
      <c r="F84" s="2" t="s">
        <v>493</v>
      </c>
      <c r="G84" s="2" t="s">
        <v>516</v>
      </c>
      <c r="H84" s="3" t="s">
        <v>517</v>
      </c>
      <c r="I84" s="4" t="s">
        <v>388</v>
      </c>
      <c r="J84" s="4" t="s">
        <v>496</v>
      </c>
      <c r="K84" s="4" t="s">
        <v>497</v>
      </c>
      <c r="L84" s="2" t="s">
        <v>516</v>
      </c>
      <c r="M84" s="2" t="s">
        <v>518</v>
      </c>
      <c r="N84" s="4" t="s">
        <v>61</v>
      </c>
      <c r="O84" s="4" t="s">
        <v>42</v>
      </c>
      <c r="P84" s="2" t="s">
        <v>519</v>
      </c>
      <c r="Q84" s="2" t="s">
        <v>500</v>
      </c>
      <c r="R84" s="2" t="s">
        <v>518</v>
      </c>
      <c r="S84" s="2" t="s">
        <v>520</v>
      </c>
      <c r="T84" s="2" t="s">
        <v>518</v>
      </c>
      <c r="U84" s="2" t="s">
        <v>925</v>
      </c>
      <c r="V84" s="4" t="s">
        <v>925</v>
      </c>
      <c r="W84" s="3" t="s">
        <v>517</v>
      </c>
      <c r="X84" s="2"/>
      <c r="Y84" s="4"/>
      <c r="Z84" s="4"/>
      <c r="AA84" s="14" t="s">
        <v>48</v>
      </c>
      <c r="AB84" s="14" t="s">
        <v>49</v>
      </c>
      <c r="AC84" s="14" t="s">
        <v>50</v>
      </c>
    </row>
    <row r="85" spans="1:29" ht="309" customHeight="1" x14ac:dyDescent="0.25">
      <c r="A85" s="2" t="s">
        <v>312</v>
      </c>
      <c r="B85" s="2" t="s">
        <v>521</v>
      </c>
      <c r="C85" s="2" t="s">
        <v>32</v>
      </c>
      <c r="D85" s="2" t="s">
        <v>522</v>
      </c>
      <c r="E85" s="2" t="s">
        <v>523</v>
      </c>
      <c r="F85" s="2" t="s">
        <v>522</v>
      </c>
      <c r="G85" s="2" t="s">
        <v>524</v>
      </c>
      <c r="H85" s="3" t="s">
        <v>525</v>
      </c>
      <c r="I85" s="4"/>
      <c r="J85" s="4" t="s">
        <v>526</v>
      </c>
      <c r="K85" s="4" t="s">
        <v>527</v>
      </c>
      <c r="L85" s="2" t="s">
        <v>524</v>
      </c>
      <c r="M85" s="2" t="s">
        <v>528</v>
      </c>
      <c r="N85" s="4" t="s">
        <v>41</v>
      </c>
      <c r="O85" s="4" t="s">
        <v>172</v>
      </c>
      <c r="P85" s="2" t="s">
        <v>1070</v>
      </c>
      <c r="Q85" s="2" t="s">
        <v>1083</v>
      </c>
      <c r="R85" s="2" t="s">
        <v>528</v>
      </c>
      <c r="S85" s="2" t="s">
        <v>529</v>
      </c>
      <c r="T85" s="2" t="s">
        <v>528</v>
      </c>
      <c r="U85" s="2" t="s">
        <v>925</v>
      </c>
      <c r="V85" s="4" t="s">
        <v>925</v>
      </c>
      <c r="W85" s="3" t="s">
        <v>525</v>
      </c>
      <c r="X85" s="2"/>
      <c r="Y85" s="4"/>
      <c r="Z85" s="4"/>
      <c r="AA85" s="14" t="s">
        <v>48</v>
      </c>
      <c r="AB85" s="14" t="s">
        <v>49</v>
      </c>
      <c r="AC85" s="14" t="s">
        <v>50</v>
      </c>
    </row>
    <row r="86" spans="1:29" ht="72" customHeight="1" x14ac:dyDescent="0.25">
      <c r="A86" s="2" t="s">
        <v>312</v>
      </c>
      <c r="B86" s="2" t="s">
        <v>521</v>
      </c>
      <c r="C86" s="2" t="s">
        <v>32</v>
      </c>
      <c r="D86" s="2" t="s">
        <v>522</v>
      </c>
      <c r="E86" s="2" t="s">
        <v>523</v>
      </c>
      <c r="F86" s="2" t="s">
        <v>522</v>
      </c>
      <c r="G86" s="2" t="s">
        <v>530</v>
      </c>
      <c r="H86" s="3" t="s">
        <v>531</v>
      </c>
      <c r="I86" s="4"/>
      <c r="J86" s="4" t="s">
        <v>526</v>
      </c>
      <c r="K86" s="4" t="s">
        <v>527</v>
      </c>
      <c r="L86" s="2" t="s">
        <v>1085</v>
      </c>
      <c r="M86" s="2" t="s">
        <v>532</v>
      </c>
      <c r="N86" s="4" t="s">
        <v>41</v>
      </c>
      <c r="O86" s="4" t="s">
        <v>172</v>
      </c>
      <c r="P86" s="2" t="s">
        <v>328</v>
      </c>
      <c r="Q86" s="2" t="s">
        <v>1081</v>
      </c>
      <c r="R86" s="2" t="s">
        <v>532</v>
      </c>
      <c r="S86" s="2" t="s">
        <v>1084</v>
      </c>
      <c r="T86" s="2" t="s">
        <v>532</v>
      </c>
      <c r="U86" s="2" t="s">
        <v>925</v>
      </c>
      <c r="V86" s="4" t="s">
        <v>925</v>
      </c>
      <c r="W86" s="3" t="s">
        <v>531</v>
      </c>
      <c r="X86" s="2"/>
      <c r="Y86" s="4"/>
      <c r="Z86" s="4"/>
      <c r="AA86" s="14" t="s">
        <v>48</v>
      </c>
      <c r="AB86" s="14" t="s">
        <v>49</v>
      </c>
      <c r="AC86" s="14" t="s">
        <v>50</v>
      </c>
    </row>
    <row r="87" spans="1:29" ht="72" customHeight="1" x14ac:dyDescent="0.25">
      <c r="A87" s="2" t="s">
        <v>312</v>
      </c>
      <c r="B87" s="2" t="s">
        <v>521</v>
      </c>
      <c r="C87" s="2" t="s">
        <v>32</v>
      </c>
      <c r="D87" s="2" t="s">
        <v>522</v>
      </c>
      <c r="E87" s="2" t="s">
        <v>523</v>
      </c>
      <c r="F87" s="2" t="s">
        <v>522</v>
      </c>
      <c r="G87" s="2" t="s">
        <v>534</v>
      </c>
      <c r="H87" s="3" t="s">
        <v>535</v>
      </c>
      <c r="I87" s="4"/>
      <c r="J87" s="4" t="s">
        <v>526</v>
      </c>
      <c r="K87" s="4" t="s">
        <v>527</v>
      </c>
      <c r="L87" s="2" t="s">
        <v>534</v>
      </c>
      <c r="M87" s="2" t="s">
        <v>536</v>
      </c>
      <c r="N87" s="4" t="s">
        <v>41</v>
      </c>
      <c r="O87" s="4" t="s">
        <v>172</v>
      </c>
      <c r="P87" s="2" t="s">
        <v>328</v>
      </c>
      <c r="Q87" s="2" t="s">
        <v>1081</v>
      </c>
      <c r="R87" s="2" t="s">
        <v>536</v>
      </c>
      <c r="S87" s="2" t="s">
        <v>1084</v>
      </c>
      <c r="T87" s="2" t="s">
        <v>536</v>
      </c>
      <c r="U87" s="2" t="s">
        <v>925</v>
      </c>
      <c r="V87" s="4" t="s">
        <v>925</v>
      </c>
      <c r="W87" s="3" t="s">
        <v>535</v>
      </c>
      <c r="X87" s="2"/>
      <c r="Y87" s="4"/>
      <c r="Z87" s="4"/>
      <c r="AA87" s="14" t="s">
        <v>48</v>
      </c>
      <c r="AB87" s="14" t="s">
        <v>49</v>
      </c>
      <c r="AC87" s="14" t="s">
        <v>50</v>
      </c>
    </row>
    <row r="88" spans="1:29" ht="72" customHeight="1" x14ac:dyDescent="0.25">
      <c r="A88" s="2" t="s">
        <v>312</v>
      </c>
      <c r="B88" s="2" t="s">
        <v>521</v>
      </c>
      <c r="C88" s="2" t="s">
        <v>32</v>
      </c>
      <c r="D88" s="2" t="s">
        <v>522</v>
      </c>
      <c r="E88" s="2" t="s">
        <v>523</v>
      </c>
      <c r="F88" s="2" t="s">
        <v>522</v>
      </c>
      <c r="G88" s="2" t="s">
        <v>537</v>
      </c>
      <c r="H88" s="3" t="s">
        <v>538</v>
      </c>
      <c r="I88" s="4"/>
      <c r="J88" s="4" t="s">
        <v>526</v>
      </c>
      <c r="K88" s="4" t="s">
        <v>527</v>
      </c>
      <c r="L88" s="2" t="s">
        <v>537</v>
      </c>
      <c r="M88" s="2" t="s">
        <v>539</v>
      </c>
      <c r="N88" s="4" t="s">
        <v>41</v>
      </c>
      <c r="O88" s="4" t="s">
        <v>172</v>
      </c>
      <c r="P88" s="2" t="s">
        <v>328</v>
      </c>
      <c r="Q88" s="2" t="s">
        <v>1086</v>
      </c>
      <c r="R88" s="2" t="s">
        <v>539</v>
      </c>
      <c r="S88" s="2" t="s">
        <v>1084</v>
      </c>
      <c r="T88" s="2" t="s">
        <v>539</v>
      </c>
      <c r="U88" s="2" t="s">
        <v>925</v>
      </c>
      <c r="V88" s="4" t="s">
        <v>925</v>
      </c>
      <c r="W88" s="3" t="s">
        <v>538</v>
      </c>
      <c r="X88" s="2"/>
      <c r="Y88" s="4"/>
      <c r="Z88" s="4"/>
      <c r="AA88" s="14" t="s">
        <v>48</v>
      </c>
      <c r="AB88" s="14" t="s">
        <v>49</v>
      </c>
      <c r="AC88" s="14" t="s">
        <v>50</v>
      </c>
    </row>
    <row r="89" spans="1:29" ht="72" customHeight="1" x14ac:dyDescent="0.25">
      <c r="A89" s="2" t="s">
        <v>312</v>
      </c>
      <c r="B89" s="2" t="s">
        <v>521</v>
      </c>
      <c r="C89" s="2" t="s">
        <v>32</v>
      </c>
      <c r="D89" s="2" t="s">
        <v>522</v>
      </c>
      <c r="E89" s="2" t="s">
        <v>523</v>
      </c>
      <c r="F89" s="2" t="s">
        <v>522</v>
      </c>
      <c r="G89" s="2" t="s">
        <v>540</v>
      </c>
      <c r="H89" s="3" t="s">
        <v>541</v>
      </c>
      <c r="I89" s="4"/>
      <c r="J89" s="4" t="s">
        <v>526</v>
      </c>
      <c r="K89" s="4" t="s">
        <v>527</v>
      </c>
      <c r="L89" s="2" t="s">
        <v>540</v>
      </c>
      <c r="M89" s="2" t="s">
        <v>542</v>
      </c>
      <c r="N89" s="4" t="s">
        <v>41</v>
      </c>
      <c r="O89" s="4" t="s">
        <v>172</v>
      </c>
      <c r="P89" s="2" t="s">
        <v>328</v>
      </c>
      <c r="Q89" s="2" t="s">
        <v>441</v>
      </c>
      <c r="R89" s="2" t="s">
        <v>542</v>
      </c>
      <c r="S89" s="2" t="s">
        <v>1084</v>
      </c>
      <c r="T89" s="2" t="s">
        <v>542</v>
      </c>
      <c r="U89" s="2" t="s">
        <v>925</v>
      </c>
      <c r="V89" s="4" t="s">
        <v>925</v>
      </c>
      <c r="W89" s="3" t="s">
        <v>541</v>
      </c>
      <c r="X89" s="2"/>
      <c r="Y89" s="4"/>
      <c r="Z89" s="4"/>
      <c r="AA89" s="14" t="s">
        <v>48</v>
      </c>
      <c r="AB89" s="14" t="s">
        <v>49</v>
      </c>
      <c r="AC89" s="14" t="s">
        <v>50</v>
      </c>
    </row>
    <row r="90" spans="1:29" ht="72" customHeight="1" x14ac:dyDescent="0.25">
      <c r="A90" s="2" t="s">
        <v>30</v>
      </c>
      <c r="B90" s="2" t="s">
        <v>31</v>
      </c>
      <c r="C90" s="2" t="s">
        <v>32</v>
      </c>
      <c r="D90" s="2" t="s">
        <v>543</v>
      </c>
      <c r="E90" s="2" t="s">
        <v>543</v>
      </c>
      <c r="F90" s="2" t="s">
        <v>544</v>
      </c>
      <c r="G90" s="2" t="s">
        <v>545</v>
      </c>
      <c r="H90" s="3" t="s">
        <v>546</v>
      </c>
      <c r="I90" s="4" t="s">
        <v>37</v>
      </c>
      <c r="J90" s="4" t="s">
        <v>547</v>
      </c>
      <c r="K90" s="4" t="s">
        <v>548</v>
      </c>
      <c r="L90" s="2" t="s">
        <v>545</v>
      </c>
      <c r="M90" s="2" t="s">
        <v>549</v>
      </c>
      <c r="N90" s="4" t="s">
        <v>61</v>
      </c>
      <c r="O90" s="4" t="s">
        <v>42</v>
      </c>
      <c r="P90" s="2" t="s">
        <v>550</v>
      </c>
      <c r="Q90" s="2" t="s">
        <v>374</v>
      </c>
      <c r="R90" s="2" t="s">
        <v>549</v>
      </c>
      <c r="S90" s="2" t="s">
        <v>551</v>
      </c>
      <c r="T90" s="2" t="s">
        <v>549</v>
      </c>
      <c r="U90" s="2"/>
      <c r="V90" s="4" t="s">
        <v>46</v>
      </c>
      <c r="W90" s="3" t="s">
        <v>546</v>
      </c>
      <c r="X90" s="2"/>
      <c r="Y90" s="4"/>
      <c r="Z90" s="4"/>
      <c r="AA90" s="14" t="s">
        <v>48</v>
      </c>
      <c r="AB90" s="14" t="s">
        <v>49</v>
      </c>
      <c r="AC90" s="14" t="s">
        <v>50</v>
      </c>
    </row>
    <row r="91" spans="1:29" ht="72" customHeight="1" x14ac:dyDescent="0.25">
      <c r="A91" s="2" t="s">
        <v>30</v>
      </c>
      <c r="B91" s="2" t="s">
        <v>31</v>
      </c>
      <c r="C91" s="2" t="s">
        <v>32</v>
      </c>
      <c r="D91" s="2" t="s">
        <v>543</v>
      </c>
      <c r="E91" s="2" t="s">
        <v>543</v>
      </c>
      <c r="F91" s="2" t="s">
        <v>544</v>
      </c>
      <c r="G91" s="2" t="s">
        <v>552</v>
      </c>
      <c r="H91" s="3" t="s">
        <v>553</v>
      </c>
      <c r="I91" s="4" t="s">
        <v>37</v>
      </c>
      <c r="J91" s="4" t="s">
        <v>547</v>
      </c>
      <c r="K91" s="4" t="s">
        <v>548</v>
      </c>
      <c r="L91" s="2" t="s">
        <v>552</v>
      </c>
      <c r="M91" s="2" t="s">
        <v>554</v>
      </c>
      <c r="N91" s="4" t="s">
        <v>61</v>
      </c>
      <c r="O91" s="4" t="s">
        <v>42</v>
      </c>
      <c r="P91" s="2" t="s">
        <v>555</v>
      </c>
      <c r="Q91" s="2" t="s">
        <v>374</v>
      </c>
      <c r="R91" s="2" t="s">
        <v>554</v>
      </c>
      <c r="S91" s="2" t="s">
        <v>556</v>
      </c>
      <c r="T91" s="2" t="s">
        <v>554</v>
      </c>
      <c r="U91" s="2"/>
      <c r="V91" s="4" t="s">
        <v>46</v>
      </c>
      <c r="W91" s="3" t="s">
        <v>553</v>
      </c>
      <c r="X91" s="2"/>
      <c r="Y91" s="4"/>
      <c r="Z91" s="4"/>
      <c r="AA91" s="14" t="s">
        <v>48</v>
      </c>
      <c r="AB91" s="14" t="s">
        <v>49</v>
      </c>
      <c r="AC91" s="14" t="s">
        <v>50</v>
      </c>
    </row>
    <row r="92" spans="1:29" ht="72" customHeight="1" x14ac:dyDescent="0.25">
      <c r="A92" s="2" t="s">
        <v>30</v>
      </c>
      <c r="B92" s="2" t="s">
        <v>31</v>
      </c>
      <c r="C92" s="2" t="s">
        <v>32</v>
      </c>
      <c r="D92" s="2" t="s">
        <v>543</v>
      </c>
      <c r="E92" s="2" t="s">
        <v>543</v>
      </c>
      <c r="F92" s="2" t="s">
        <v>544</v>
      </c>
      <c r="G92" s="2" t="s">
        <v>557</v>
      </c>
      <c r="H92" s="3" t="s">
        <v>558</v>
      </c>
      <c r="I92" s="4" t="s">
        <v>37</v>
      </c>
      <c r="J92" s="4" t="s">
        <v>547</v>
      </c>
      <c r="K92" s="4" t="s">
        <v>548</v>
      </c>
      <c r="L92" s="2" t="s">
        <v>557</v>
      </c>
      <c r="M92" s="2" t="s">
        <v>559</v>
      </c>
      <c r="N92" s="4" t="s">
        <v>61</v>
      </c>
      <c r="O92" s="4" t="s">
        <v>42</v>
      </c>
      <c r="P92" s="2" t="s">
        <v>560</v>
      </c>
      <c r="Q92" s="2" t="s">
        <v>374</v>
      </c>
      <c r="R92" s="2" t="s">
        <v>559</v>
      </c>
      <c r="S92" s="2" t="s">
        <v>561</v>
      </c>
      <c r="T92" s="2" t="s">
        <v>559</v>
      </c>
      <c r="U92" s="2"/>
      <c r="V92" s="4" t="s">
        <v>46</v>
      </c>
      <c r="W92" s="3" t="s">
        <v>558</v>
      </c>
      <c r="X92" s="2"/>
      <c r="Y92" s="4"/>
      <c r="Z92" s="4"/>
      <c r="AA92" s="14" t="s">
        <v>48</v>
      </c>
      <c r="AB92" s="14" t="s">
        <v>49</v>
      </c>
      <c r="AC92" s="14" t="s">
        <v>50</v>
      </c>
    </row>
    <row r="93" spans="1:29" ht="72" customHeight="1" x14ac:dyDescent="0.25">
      <c r="A93" s="2" t="s">
        <v>30</v>
      </c>
      <c r="B93" s="2" t="s">
        <v>31</v>
      </c>
      <c r="C93" s="2" t="s">
        <v>32</v>
      </c>
      <c r="D93" s="2" t="s">
        <v>543</v>
      </c>
      <c r="E93" s="2" t="s">
        <v>543</v>
      </c>
      <c r="F93" s="2" t="s">
        <v>544</v>
      </c>
      <c r="G93" s="2" t="s">
        <v>562</v>
      </c>
      <c r="H93" s="3" t="s">
        <v>563</v>
      </c>
      <c r="I93" s="4" t="s">
        <v>37</v>
      </c>
      <c r="J93" s="4" t="s">
        <v>547</v>
      </c>
      <c r="K93" s="4" t="s">
        <v>548</v>
      </c>
      <c r="L93" s="2" t="s">
        <v>562</v>
      </c>
      <c r="M93" s="2" t="s">
        <v>564</v>
      </c>
      <c r="N93" s="4" t="s">
        <v>54</v>
      </c>
      <c r="O93" s="4" t="s">
        <v>42</v>
      </c>
      <c r="P93" s="2" t="s">
        <v>565</v>
      </c>
      <c r="Q93" s="2" t="s">
        <v>566</v>
      </c>
      <c r="R93" s="2" t="s">
        <v>564</v>
      </c>
      <c r="S93" s="2" t="s">
        <v>567</v>
      </c>
      <c r="T93" s="2" t="s">
        <v>564</v>
      </c>
      <c r="U93" s="2"/>
      <c r="V93" s="4" t="s">
        <v>46</v>
      </c>
      <c r="W93" s="3" t="s">
        <v>563</v>
      </c>
      <c r="X93" s="2"/>
      <c r="Y93" s="4"/>
      <c r="Z93" s="4"/>
      <c r="AA93" s="14" t="s">
        <v>48</v>
      </c>
      <c r="AB93" s="14" t="s">
        <v>49</v>
      </c>
      <c r="AC93" s="14" t="s">
        <v>50</v>
      </c>
    </row>
    <row r="94" spans="1:29" ht="72" customHeight="1" x14ac:dyDescent="0.25">
      <c r="A94" s="2" t="s">
        <v>30</v>
      </c>
      <c r="B94" s="2" t="s">
        <v>31</v>
      </c>
      <c r="C94" s="2" t="s">
        <v>32</v>
      </c>
      <c r="D94" s="2" t="s">
        <v>543</v>
      </c>
      <c r="E94" s="2" t="s">
        <v>543</v>
      </c>
      <c r="F94" s="2" t="s">
        <v>544</v>
      </c>
      <c r="G94" s="2" t="s">
        <v>568</v>
      </c>
      <c r="H94" s="3" t="s">
        <v>569</v>
      </c>
      <c r="I94" s="4" t="s">
        <v>37</v>
      </c>
      <c r="J94" s="4" t="s">
        <v>547</v>
      </c>
      <c r="K94" s="4" t="s">
        <v>548</v>
      </c>
      <c r="L94" s="2" t="s">
        <v>568</v>
      </c>
      <c r="M94" s="2" t="s">
        <v>570</v>
      </c>
      <c r="N94" s="4" t="s">
        <v>54</v>
      </c>
      <c r="O94" s="4" t="s">
        <v>42</v>
      </c>
      <c r="P94" s="2" t="s">
        <v>565</v>
      </c>
      <c r="Q94" s="2" t="s">
        <v>566</v>
      </c>
      <c r="R94" s="2" t="s">
        <v>570</v>
      </c>
      <c r="S94" s="2" t="s">
        <v>571</v>
      </c>
      <c r="T94" s="2" t="s">
        <v>570</v>
      </c>
      <c r="U94" s="2"/>
      <c r="V94" s="4" t="s">
        <v>46</v>
      </c>
      <c r="W94" s="3" t="s">
        <v>569</v>
      </c>
      <c r="X94" s="2"/>
      <c r="Y94" s="4"/>
      <c r="Z94" s="4"/>
      <c r="AA94" s="14" t="s">
        <v>48</v>
      </c>
      <c r="AB94" s="14" t="s">
        <v>49</v>
      </c>
      <c r="AC94" s="14" t="s">
        <v>50</v>
      </c>
    </row>
    <row r="95" spans="1:29" ht="72" customHeight="1" x14ac:dyDescent="0.25">
      <c r="A95" s="2" t="s">
        <v>30</v>
      </c>
      <c r="B95" s="2" t="s">
        <v>31</v>
      </c>
      <c r="C95" s="2" t="s">
        <v>32</v>
      </c>
      <c r="D95" s="2" t="s">
        <v>543</v>
      </c>
      <c r="E95" s="2" t="s">
        <v>543</v>
      </c>
      <c r="F95" s="2" t="s">
        <v>544</v>
      </c>
      <c r="G95" s="2" t="s">
        <v>572</v>
      </c>
      <c r="H95" s="3" t="s">
        <v>573</v>
      </c>
      <c r="I95" s="4" t="s">
        <v>37</v>
      </c>
      <c r="J95" s="4" t="s">
        <v>547</v>
      </c>
      <c r="K95" s="4" t="s">
        <v>548</v>
      </c>
      <c r="L95" s="2" t="s">
        <v>572</v>
      </c>
      <c r="M95" s="2" t="s">
        <v>574</v>
      </c>
      <c r="N95" s="4" t="s">
        <v>54</v>
      </c>
      <c r="O95" s="4" t="s">
        <v>42</v>
      </c>
      <c r="P95" s="2" t="s">
        <v>565</v>
      </c>
      <c r="Q95" s="2" t="s">
        <v>566</v>
      </c>
      <c r="R95" s="2" t="s">
        <v>574</v>
      </c>
      <c r="S95" s="2" t="s">
        <v>575</v>
      </c>
      <c r="T95" s="2" t="s">
        <v>574</v>
      </c>
      <c r="U95" s="2"/>
      <c r="V95" s="4" t="s">
        <v>46</v>
      </c>
      <c r="W95" s="3" t="s">
        <v>573</v>
      </c>
      <c r="X95" s="2"/>
      <c r="Y95" s="4"/>
      <c r="Z95" s="4"/>
      <c r="AA95" s="14" t="s">
        <v>48</v>
      </c>
      <c r="AB95" s="14" t="s">
        <v>49</v>
      </c>
      <c r="AC95" s="14" t="s">
        <v>50</v>
      </c>
    </row>
    <row r="96" spans="1:29" ht="72" customHeight="1" x14ac:dyDescent="0.25">
      <c r="A96" s="2" t="s">
        <v>30</v>
      </c>
      <c r="B96" s="2" t="s">
        <v>31</v>
      </c>
      <c r="C96" s="2" t="s">
        <v>32</v>
      </c>
      <c r="D96" s="2" t="s">
        <v>543</v>
      </c>
      <c r="E96" s="2" t="s">
        <v>543</v>
      </c>
      <c r="F96" s="2" t="s">
        <v>544</v>
      </c>
      <c r="G96" s="2" t="s">
        <v>576</v>
      </c>
      <c r="H96" s="3" t="s">
        <v>577</v>
      </c>
      <c r="I96" s="4" t="s">
        <v>37</v>
      </c>
      <c r="J96" s="4" t="s">
        <v>547</v>
      </c>
      <c r="K96" s="4" t="s">
        <v>548</v>
      </c>
      <c r="L96" s="2" t="s">
        <v>576</v>
      </c>
      <c r="M96" s="2" t="s">
        <v>578</v>
      </c>
      <c r="N96" s="4" t="s">
        <v>54</v>
      </c>
      <c r="O96" s="4" t="s">
        <v>42</v>
      </c>
      <c r="P96" s="2" t="s">
        <v>579</v>
      </c>
      <c r="Q96" s="2" t="s">
        <v>566</v>
      </c>
      <c r="R96" s="2" t="s">
        <v>578</v>
      </c>
      <c r="S96" s="2" t="s">
        <v>580</v>
      </c>
      <c r="T96" s="2" t="s">
        <v>578</v>
      </c>
      <c r="U96" s="2"/>
      <c r="V96" s="4" t="s">
        <v>46</v>
      </c>
      <c r="W96" s="3" t="s">
        <v>577</v>
      </c>
      <c r="X96" s="2"/>
      <c r="Y96" s="4"/>
      <c r="Z96" s="4"/>
      <c r="AA96" s="14" t="s">
        <v>48</v>
      </c>
      <c r="AB96" s="14" t="s">
        <v>49</v>
      </c>
      <c r="AC96" s="14" t="s">
        <v>50</v>
      </c>
    </row>
    <row r="97" spans="1:29" ht="72" customHeight="1" x14ac:dyDescent="0.25">
      <c r="A97" s="2" t="s">
        <v>222</v>
      </c>
      <c r="B97" s="2" t="s">
        <v>223</v>
      </c>
      <c r="C97" s="2" t="s">
        <v>32</v>
      </c>
      <c r="D97" s="2" t="s">
        <v>581</v>
      </c>
      <c r="E97" s="2" t="s">
        <v>581</v>
      </c>
      <c r="F97" s="2" t="s">
        <v>582</v>
      </c>
      <c r="G97" s="2" t="s">
        <v>583</v>
      </c>
      <c r="H97" s="3" t="s">
        <v>584</v>
      </c>
      <c r="I97" s="4" t="s">
        <v>228</v>
      </c>
      <c r="J97" s="4" t="s">
        <v>585</v>
      </c>
      <c r="K97" s="4" t="s">
        <v>586</v>
      </c>
      <c r="L97" s="2" t="s">
        <v>583</v>
      </c>
      <c r="M97" s="2" t="s">
        <v>587</v>
      </c>
      <c r="N97" s="4" t="s">
        <v>61</v>
      </c>
      <c r="O97" s="4" t="s">
        <v>42</v>
      </c>
      <c r="P97" s="2" t="s">
        <v>588</v>
      </c>
      <c r="Q97" s="2" t="s">
        <v>374</v>
      </c>
      <c r="R97" s="2" t="s">
        <v>587</v>
      </c>
      <c r="S97" s="2" t="s">
        <v>589</v>
      </c>
      <c r="T97" s="2" t="s">
        <v>587</v>
      </c>
      <c r="U97" s="2"/>
      <c r="V97" s="4" t="s">
        <v>46</v>
      </c>
      <c r="W97" s="3" t="s">
        <v>584</v>
      </c>
      <c r="X97" s="2"/>
      <c r="Y97" s="4"/>
      <c r="Z97" s="4"/>
      <c r="AA97" s="14" t="s">
        <v>48</v>
      </c>
      <c r="AB97" s="14" t="s">
        <v>49</v>
      </c>
      <c r="AC97" s="14" t="s">
        <v>50</v>
      </c>
    </row>
    <row r="98" spans="1:29" ht="72" customHeight="1" x14ac:dyDescent="0.25">
      <c r="A98" s="2" t="s">
        <v>222</v>
      </c>
      <c r="B98" s="2" t="s">
        <v>223</v>
      </c>
      <c r="C98" s="2" t="s">
        <v>32</v>
      </c>
      <c r="D98" s="2" t="s">
        <v>581</v>
      </c>
      <c r="E98" s="2" t="s">
        <v>581</v>
      </c>
      <c r="F98" s="2" t="s">
        <v>582</v>
      </c>
      <c r="G98" s="2" t="s">
        <v>590</v>
      </c>
      <c r="H98" s="3" t="s">
        <v>591</v>
      </c>
      <c r="I98" s="4" t="s">
        <v>228</v>
      </c>
      <c r="J98" s="4" t="s">
        <v>585</v>
      </c>
      <c r="K98" s="4" t="s">
        <v>586</v>
      </c>
      <c r="L98" s="2" t="s">
        <v>590</v>
      </c>
      <c r="M98" s="2" t="s">
        <v>592</v>
      </c>
      <c r="N98" s="4" t="s">
        <v>61</v>
      </c>
      <c r="O98" s="4" t="s">
        <v>42</v>
      </c>
      <c r="P98" s="2" t="s">
        <v>593</v>
      </c>
      <c r="Q98" s="2" t="s">
        <v>353</v>
      </c>
      <c r="R98" s="2" t="s">
        <v>592</v>
      </c>
      <c r="S98" s="2" t="s">
        <v>594</v>
      </c>
      <c r="T98" s="2" t="s">
        <v>592</v>
      </c>
      <c r="U98" s="2"/>
      <c r="V98" s="4" t="s">
        <v>46</v>
      </c>
      <c r="W98" s="3" t="s">
        <v>591</v>
      </c>
      <c r="X98" s="2"/>
      <c r="Y98" s="4"/>
      <c r="Z98" s="4"/>
      <c r="AA98" s="14" t="s">
        <v>48</v>
      </c>
      <c r="AB98" s="14" t="s">
        <v>49</v>
      </c>
      <c r="AC98" s="14" t="s">
        <v>50</v>
      </c>
    </row>
    <row r="99" spans="1:29" ht="72" customHeight="1" x14ac:dyDescent="0.25">
      <c r="A99" s="2" t="s">
        <v>222</v>
      </c>
      <c r="B99" s="2" t="s">
        <v>223</v>
      </c>
      <c r="C99" s="2" t="s">
        <v>32</v>
      </c>
      <c r="D99" s="2" t="s">
        <v>581</v>
      </c>
      <c r="E99" s="2" t="s">
        <v>581</v>
      </c>
      <c r="F99" s="2" t="s">
        <v>582</v>
      </c>
      <c r="G99" s="2" t="s">
        <v>595</v>
      </c>
      <c r="H99" s="3" t="s">
        <v>596</v>
      </c>
      <c r="I99" s="4" t="s">
        <v>228</v>
      </c>
      <c r="J99" s="4" t="s">
        <v>585</v>
      </c>
      <c r="K99" s="4" t="s">
        <v>586</v>
      </c>
      <c r="L99" s="2" t="s">
        <v>595</v>
      </c>
      <c r="M99" s="2" t="s">
        <v>597</v>
      </c>
      <c r="N99" s="4" t="s">
        <v>61</v>
      </c>
      <c r="O99" s="4" t="s">
        <v>42</v>
      </c>
      <c r="P99" s="2" t="s">
        <v>598</v>
      </c>
      <c r="Q99" s="2" t="s">
        <v>353</v>
      </c>
      <c r="R99" s="2" t="s">
        <v>597</v>
      </c>
      <c r="S99" s="2" t="s">
        <v>599</v>
      </c>
      <c r="T99" s="2" t="s">
        <v>597</v>
      </c>
      <c r="U99" s="2"/>
      <c r="V99" s="4" t="s">
        <v>46</v>
      </c>
      <c r="W99" s="3" t="s">
        <v>596</v>
      </c>
      <c r="X99" s="2"/>
      <c r="Y99" s="4"/>
      <c r="Z99" s="4"/>
      <c r="AA99" s="14" t="s">
        <v>48</v>
      </c>
      <c r="AB99" s="14" t="s">
        <v>49</v>
      </c>
      <c r="AC99" s="14" t="s">
        <v>50</v>
      </c>
    </row>
    <row r="100" spans="1:29" ht="72" customHeight="1" x14ac:dyDescent="0.25">
      <c r="A100" s="2" t="s">
        <v>222</v>
      </c>
      <c r="B100" s="2" t="s">
        <v>223</v>
      </c>
      <c r="C100" s="2" t="s">
        <v>32</v>
      </c>
      <c r="D100" s="2" t="s">
        <v>581</v>
      </c>
      <c r="E100" s="2" t="s">
        <v>581</v>
      </c>
      <c r="F100" s="2" t="s">
        <v>582</v>
      </c>
      <c r="G100" s="2" t="s">
        <v>600</v>
      </c>
      <c r="H100" s="3" t="s">
        <v>601</v>
      </c>
      <c r="I100" s="4" t="s">
        <v>228</v>
      </c>
      <c r="J100" s="4" t="s">
        <v>585</v>
      </c>
      <c r="K100" s="4" t="s">
        <v>586</v>
      </c>
      <c r="L100" s="2" t="s">
        <v>600</v>
      </c>
      <c r="M100" s="2" t="s">
        <v>367</v>
      </c>
      <c r="N100" s="4" t="s">
        <v>61</v>
      </c>
      <c r="O100" s="4" t="s">
        <v>42</v>
      </c>
      <c r="P100" s="2" t="s">
        <v>602</v>
      </c>
      <c r="Q100" s="2" t="s">
        <v>353</v>
      </c>
      <c r="R100" s="2" t="s">
        <v>367</v>
      </c>
      <c r="S100" s="2" t="s">
        <v>603</v>
      </c>
      <c r="T100" s="2" t="s">
        <v>367</v>
      </c>
      <c r="U100" s="2"/>
      <c r="V100" s="4" t="s">
        <v>46</v>
      </c>
      <c r="W100" s="3" t="s">
        <v>601</v>
      </c>
      <c r="X100" s="2"/>
      <c r="Y100" s="4"/>
      <c r="Z100" s="4"/>
      <c r="AA100" s="14" t="s">
        <v>48</v>
      </c>
      <c r="AB100" s="14" t="s">
        <v>49</v>
      </c>
      <c r="AC100" s="14" t="s">
        <v>50</v>
      </c>
    </row>
    <row r="101" spans="1:29" ht="72" customHeight="1" x14ac:dyDescent="0.25">
      <c r="A101" s="2" t="s">
        <v>222</v>
      </c>
      <c r="B101" s="2" t="s">
        <v>223</v>
      </c>
      <c r="C101" s="2" t="s">
        <v>32</v>
      </c>
      <c r="D101" s="2" t="s">
        <v>581</v>
      </c>
      <c r="E101" s="2" t="s">
        <v>581</v>
      </c>
      <c r="F101" s="2" t="s">
        <v>582</v>
      </c>
      <c r="G101" s="2" t="s">
        <v>604</v>
      </c>
      <c r="H101" s="3" t="s">
        <v>605</v>
      </c>
      <c r="I101" s="4" t="s">
        <v>228</v>
      </c>
      <c r="J101" s="4" t="s">
        <v>585</v>
      </c>
      <c r="K101" s="4" t="s">
        <v>586</v>
      </c>
      <c r="L101" s="2" t="s">
        <v>604</v>
      </c>
      <c r="M101" s="2" t="s">
        <v>606</v>
      </c>
      <c r="N101" s="4" t="s">
        <v>61</v>
      </c>
      <c r="O101" s="4" t="s">
        <v>42</v>
      </c>
      <c r="P101" s="2" t="s">
        <v>607</v>
      </c>
      <c r="Q101" s="2" t="s">
        <v>374</v>
      </c>
      <c r="R101" s="2" t="s">
        <v>606</v>
      </c>
      <c r="S101" s="2" t="s">
        <v>608</v>
      </c>
      <c r="T101" s="2" t="s">
        <v>606</v>
      </c>
      <c r="U101" s="2"/>
      <c r="V101" s="4" t="s">
        <v>46</v>
      </c>
      <c r="W101" s="3" t="s">
        <v>605</v>
      </c>
      <c r="X101" s="2"/>
      <c r="Y101" s="4"/>
      <c r="Z101" s="4"/>
      <c r="AA101" s="14" t="s">
        <v>48</v>
      </c>
      <c r="AB101" s="14" t="s">
        <v>49</v>
      </c>
      <c r="AC101" s="14" t="s">
        <v>50</v>
      </c>
    </row>
    <row r="102" spans="1:29" ht="72" customHeight="1" x14ac:dyDescent="0.25">
      <c r="A102" s="2" t="s">
        <v>222</v>
      </c>
      <c r="B102" s="2" t="s">
        <v>223</v>
      </c>
      <c r="C102" s="2" t="s">
        <v>32</v>
      </c>
      <c r="D102" s="2" t="s">
        <v>581</v>
      </c>
      <c r="E102" s="2" t="s">
        <v>581</v>
      </c>
      <c r="F102" s="2" t="s">
        <v>582</v>
      </c>
      <c r="G102" s="2" t="s">
        <v>609</v>
      </c>
      <c r="H102" s="3" t="s">
        <v>610</v>
      </c>
      <c r="I102" s="4" t="s">
        <v>228</v>
      </c>
      <c r="J102" s="4" t="s">
        <v>585</v>
      </c>
      <c r="K102" s="4" t="s">
        <v>586</v>
      </c>
      <c r="L102" s="2" t="s">
        <v>609</v>
      </c>
      <c r="M102" s="2" t="s">
        <v>611</v>
      </c>
      <c r="N102" s="4" t="s">
        <v>61</v>
      </c>
      <c r="O102" s="4" t="s">
        <v>42</v>
      </c>
      <c r="P102" s="2" t="s">
        <v>612</v>
      </c>
      <c r="Q102" s="2" t="s">
        <v>374</v>
      </c>
      <c r="R102" s="2" t="s">
        <v>611</v>
      </c>
      <c r="S102" s="2" t="s">
        <v>613</v>
      </c>
      <c r="T102" s="2" t="s">
        <v>611</v>
      </c>
      <c r="U102" s="2"/>
      <c r="V102" s="4" t="s">
        <v>46</v>
      </c>
      <c r="W102" s="3" t="s">
        <v>610</v>
      </c>
      <c r="X102" s="2"/>
      <c r="Y102" s="4"/>
      <c r="Z102" s="4"/>
      <c r="AA102" s="14" t="s">
        <v>48</v>
      </c>
      <c r="AB102" s="14" t="s">
        <v>49</v>
      </c>
      <c r="AC102" s="14" t="s">
        <v>50</v>
      </c>
    </row>
    <row r="103" spans="1:29" ht="72" customHeight="1" x14ac:dyDescent="0.25">
      <c r="A103" s="2" t="s">
        <v>222</v>
      </c>
      <c r="B103" s="2" t="s">
        <v>223</v>
      </c>
      <c r="C103" s="2" t="s">
        <v>32</v>
      </c>
      <c r="D103" s="2" t="s">
        <v>581</v>
      </c>
      <c r="E103" s="2" t="s">
        <v>581</v>
      </c>
      <c r="F103" s="2" t="s">
        <v>582</v>
      </c>
      <c r="G103" s="2" t="s">
        <v>614</v>
      </c>
      <c r="H103" s="3" t="s">
        <v>615</v>
      </c>
      <c r="I103" s="4" t="s">
        <v>228</v>
      </c>
      <c r="J103" s="4" t="s">
        <v>585</v>
      </c>
      <c r="K103" s="4" t="s">
        <v>586</v>
      </c>
      <c r="L103" s="2" t="s">
        <v>614</v>
      </c>
      <c r="M103" s="2" t="s">
        <v>616</v>
      </c>
      <c r="N103" s="4" t="s">
        <v>61</v>
      </c>
      <c r="O103" s="4" t="s">
        <v>42</v>
      </c>
      <c r="P103" s="2" t="s">
        <v>617</v>
      </c>
      <c r="Q103" s="2" t="s">
        <v>374</v>
      </c>
      <c r="R103" s="2" t="s">
        <v>616</v>
      </c>
      <c r="S103" s="2" t="s">
        <v>618</v>
      </c>
      <c r="T103" s="2" t="s">
        <v>616</v>
      </c>
      <c r="U103" s="2"/>
      <c r="V103" s="4" t="s">
        <v>46</v>
      </c>
      <c r="W103" s="3" t="s">
        <v>615</v>
      </c>
      <c r="X103" s="2"/>
      <c r="Y103" s="4"/>
      <c r="Z103" s="4"/>
      <c r="AA103" s="14" t="s">
        <v>48</v>
      </c>
      <c r="AB103" s="14" t="s">
        <v>49</v>
      </c>
      <c r="AC103" s="14" t="s">
        <v>50</v>
      </c>
    </row>
    <row r="104" spans="1:29" ht="72" customHeight="1" x14ac:dyDescent="0.25">
      <c r="A104" s="2" t="s">
        <v>222</v>
      </c>
      <c r="B104" s="2" t="s">
        <v>223</v>
      </c>
      <c r="C104" s="2" t="s">
        <v>32</v>
      </c>
      <c r="D104" s="2" t="s">
        <v>581</v>
      </c>
      <c r="E104" s="2" t="s">
        <v>581</v>
      </c>
      <c r="F104" s="2" t="s">
        <v>582</v>
      </c>
      <c r="G104" s="2" t="s">
        <v>619</v>
      </c>
      <c r="H104" s="3" t="s">
        <v>620</v>
      </c>
      <c r="I104" s="4" t="s">
        <v>228</v>
      </c>
      <c r="J104" s="4" t="s">
        <v>585</v>
      </c>
      <c r="K104" s="4" t="s">
        <v>586</v>
      </c>
      <c r="L104" s="2" t="s">
        <v>619</v>
      </c>
      <c r="M104" s="2" t="s">
        <v>621</v>
      </c>
      <c r="N104" s="4" t="s">
        <v>61</v>
      </c>
      <c r="O104" s="4" t="s">
        <v>42</v>
      </c>
      <c r="P104" s="2" t="s">
        <v>622</v>
      </c>
      <c r="Q104" s="2" t="s">
        <v>374</v>
      </c>
      <c r="R104" s="2" t="s">
        <v>621</v>
      </c>
      <c r="S104" s="2" t="s">
        <v>623</v>
      </c>
      <c r="T104" s="2" t="s">
        <v>621</v>
      </c>
      <c r="U104" s="2"/>
      <c r="V104" s="4" t="s">
        <v>46</v>
      </c>
      <c r="W104" s="3" t="s">
        <v>620</v>
      </c>
      <c r="X104" s="2"/>
      <c r="Y104" s="4"/>
      <c r="Z104" s="4"/>
      <c r="AA104" s="14" t="s">
        <v>48</v>
      </c>
      <c r="AB104" s="14" t="s">
        <v>49</v>
      </c>
      <c r="AC104" s="14" t="s">
        <v>50</v>
      </c>
    </row>
    <row r="105" spans="1:29" ht="72" customHeight="1" x14ac:dyDescent="0.25">
      <c r="A105" s="2" t="s">
        <v>624</v>
      </c>
      <c r="B105" s="2" t="s">
        <v>625</v>
      </c>
      <c r="C105" s="2" t="s">
        <v>32</v>
      </c>
      <c r="D105" s="2" t="s">
        <v>626</v>
      </c>
      <c r="E105" s="2" t="s">
        <v>626</v>
      </c>
      <c r="F105" s="2" t="s">
        <v>627</v>
      </c>
      <c r="G105" s="2" t="s">
        <v>628</v>
      </c>
      <c r="H105" s="3" t="s">
        <v>629</v>
      </c>
      <c r="I105" s="4" t="s">
        <v>630</v>
      </c>
      <c r="J105" s="4" t="s">
        <v>631</v>
      </c>
      <c r="K105" s="4" t="s">
        <v>632</v>
      </c>
      <c r="L105" s="2" t="s">
        <v>628</v>
      </c>
      <c r="M105" s="2" t="s">
        <v>633</v>
      </c>
      <c r="N105" s="4" t="s">
        <v>61</v>
      </c>
      <c r="O105" s="4" t="s">
        <v>42</v>
      </c>
      <c r="P105" s="2" t="s">
        <v>634</v>
      </c>
      <c r="Q105" s="2" t="s">
        <v>374</v>
      </c>
      <c r="R105" s="2" t="s">
        <v>633</v>
      </c>
      <c r="S105" s="2" t="s">
        <v>635</v>
      </c>
      <c r="T105" s="2" t="s">
        <v>633</v>
      </c>
      <c r="U105" s="2"/>
      <c r="V105" s="4" t="s">
        <v>46</v>
      </c>
      <c r="W105" s="3" t="s">
        <v>629</v>
      </c>
      <c r="X105" s="2"/>
      <c r="Y105" s="4"/>
      <c r="Z105" s="4"/>
      <c r="AA105" s="14" t="s">
        <v>48</v>
      </c>
      <c r="AB105" s="14" t="s">
        <v>49</v>
      </c>
      <c r="AC105" s="14" t="s">
        <v>50</v>
      </c>
    </row>
    <row r="106" spans="1:29" ht="72" customHeight="1" x14ac:dyDescent="0.25">
      <c r="A106" s="2" t="s">
        <v>624</v>
      </c>
      <c r="B106" s="2" t="s">
        <v>625</v>
      </c>
      <c r="C106" s="2" t="s">
        <v>32</v>
      </c>
      <c r="D106" s="2" t="s">
        <v>626</v>
      </c>
      <c r="E106" s="2" t="s">
        <v>626</v>
      </c>
      <c r="F106" s="2" t="s">
        <v>627</v>
      </c>
      <c r="G106" s="2" t="s">
        <v>636</v>
      </c>
      <c r="H106" s="3" t="s">
        <v>637</v>
      </c>
      <c r="I106" s="4" t="s">
        <v>630</v>
      </c>
      <c r="J106" s="4" t="s">
        <v>631</v>
      </c>
      <c r="K106" s="4" t="s">
        <v>632</v>
      </c>
      <c r="L106" s="2" t="s">
        <v>636</v>
      </c>
      <c r="M106" s="2" t="s">
        <v>638</v>
      </c>
      <c r="N106" s="4" t="s">
        <v>54</v>
      </c>
      <c r="O106" s="4" t="s">
        <v>42</v>
      </c>
      <c r="P106" s="2" t="s">
        <v>639</v>
      </c>
      <c r="Q106" s="2" t="s">
        <v>374</v>
      </c>
      <c r="R106" s="2" t="s">
        <v>638</v>
      </c>
      <c r="S106" s="2" t="s">
        <v>640</v>
      </c>
      <c r="T106" s="2" t="s">
        <v>638</v>
      </c>
      <c r="U106" s="2"/>
      <c r="V106" s="4" t="s">
        <v>46</v>
      </c>
      <c r="W106" s="3" t="s">
        <v>637</v>
      </c>
      <c r="X106" s="2"/>
      <c r="Y106" s="4"/>
      <c r="Z106" s="4"/>
      <c r="AA106" s="14" t="s">
        <v>48</v>
      </c>
      <c r="AB106" s="14" t="s">
        <v>49</v>
      </c>
      <c r="AC106" s="14" t="s">
        <v>50</v>
      </c>
    </row>
    <row r="107" spans="1:29" ht="72" customHeight="1" x14ac:dyDescent="0.25">
      <c r="A107" s="2" t="s">
        <v>624</v>
      </c>
      <c r="B107" s="2" t="s">
        <v>625</v>
      </c>
      <c r="C107" s="2" t="s">
        <v>32</v>
      </c>
      <c r="D107" s="2" t="s">
        <v>626</v>
      </c>
      <c r="E107" s="2" t="s">
        <v>626</v>
      </c>
      <c r="F107" s="2" t="s">
        <v>627</v>
      </c>
      <c r="G107" s="2" t="s">
        <v>641</v>
      </c>
      <c r="H107" s="3" t="s">
        <v>642</v>
      </c>
      <c r="I107" s="4" t="s">
        <v>630</v>
      </c>
      <c r="J107" s="4" t="s">
        <v>631</v>
      </c>
      <c r="K107" s="4" t="s">
        <v>632</v>
      </c>
      <c r="L107" s="2" t="s">
        <v>641</v>
      </c>
      <c r="M107" s="2" t="s">
        <v>643</v>
      </c>
      <c r="N107" s="4" t="s">
        <v>61</v>
      </c>
      <c r="O107" s="4" t="s">
        <v>42</v>
      </c>
      <c r="P107" s="2" t="s">
        <v>644</v>
      </c>
      <c r="Q107" s="2" t="s">
        <v>374</v>
      </c>
      <c r="R107" s="2" t="s">
        <v>643</v>
      </c>
      <c r="S107" s="2" t="s">
        <v>645</v>
      </c>
      <c r="T107" s="2" t="s">
        <v>643</v>
      </c>
      <c r="U107" s="2"/>
      <c r="V107" s="4" t="s">
        <v>46</v>
      </c>
      <c r="W107" s="3" t="s">
        <v>642</v>
      </c>
      <c r="X107" s="2"/>
      <c r="Y107" s="4"/>
      <c r="Z107" s="4"/>
      <c r="AA107" s="14" t="s">
        <v>48</v>
      </c>
      <c r="AB107" s="14" t="s">
        <v>49</v>
      </c>
      <c r="AC107" s="14" t="s">
        <v>50</v>
      </c>
    </row>
    <row r="108" spans="1:29" ht="72" customHeight="1" x14ac:dyDescent="0.25">
      <c r="A108" s="2" t="s">
        <v>624</v>
      </c>
      <c r="B108" s="2" t="s">
        <v>625</v>
      </c>
      <c r="C108" s="2" t="s">
        <v>32</v>
      </c>
      <c r="D108" s="2" t="s">
        <v>626</v>
      </c>
      <c r="E108" s="2" t="s">
        <v>626</v>
      </c>
      <c r="F108" s="2" t="s">
        <v>627</v>
      </c>
      <c r="G108" s="2" t="s">
        <v>646</v>
      </c>
      <c r="H108" s="3" t="s">
        <v>647</v>
      </c>
      <c r="I108" s="4" t="s">
        <v>630</v>
      </c>
      <c r="J108" s="4" t="s">
        <v>631</v>
      </c>
      <c r="K108" s="4" t="s">
        <v>632</v>
      </c>
      <c r="L108" s="2" t="s">
        <v>646</v>
      </c>
      <c r="M108" s="2" t="s">
        <v>648</v>
      </c>
      <c r="N108" s="4" t="s">
        <v>61</v>
      </c>
      <c r="O108" s="4" t="s">
        <v>42</v>
      </c>
      <c r="P108" s="2" t="s">
        <v>649</v>
      </c>
      <c r="Q108" s="2" t="s">
        <v>374</v>
      </c>
      <c r="R108" s="2" t="s">
        <v>648</v>
      </c>
      <c r="S108" s="2" t="s">
        <v>650</v>
      </c>
      <c r="T108" s="2" t="s">
        <v>648</v>
      </c>
      <c r="U108" s="2"/>
      <c r="V108" s="4" t="s">
        <v>46</v>
      </c>
      <c r="W108" s="3" t="s">
        <v>647</v>
      </c>
      <c r="X108" s="2"/>
      <c r="Y108" s="4"/>
      <c r="Z108" s="4"/>
      <c r="AA108" s="14" t="s">
        <v>48</v>
      </c>
      <c r="AB108" s="14" t="s">
        <v>49</v>
      </c>
      <c r="AC108" s="14" t="s">
        <v>50</v>
      </c>
    </row>
    <row r="109" spans="1:29" ht="72" customHeight="1" x14ac:dyDescent="0.25">
      <c r="A109" s="2" t="s">
        <v>624</v>
      </c>
      <c r="B109" s="2" t="s">
        <v>625</v>
      </c>
      <c r="C109" s="2" t="s">
        <v>32</v>
      </c>
      <c r="D109" s="2" t="s">
        <v>626</v>
      </c>
      <c r="E109" s="2" t="s">
        <v>626</v>
      </c>
      <c r="F109" s="2" t="s">
        <v>627</v>
      </c>
      <c r="G109" s="2" t="s">
        <v>651</v>
      </c>
      <c r="H109" s="3" t="s">
        <v>652</v>
      </c>
      <c r="I109" s="4" t="s">
        <v>630</v>
      </c>
      <c r="J109" s="4" t="s">
        <v>631</v>
      </c>
      <c r="K109" s="4" t="s">
        <v>632</v>
      </c>
      <c r="L109" s="2" t="s">
        <v>651</v>
      </c>
      <c r="M109" s="2" t="s">
        <v>653</v>
      </c>
      <c r="N109" s="4" t="s">
        <v>61</v>
      </c>
      <c r="O109" s="4" t="s">
        <v>42</v>
      </c>
      <c r="P109" s="2" t="s">
        <v>654</v>
      </c>
      <c r="Q109" s="2" t="s">
        <v>374</v>
      </c>
      <c r="R109" s="2" t="s">
        <v>653</v>
      </c>
      <c r="S109" s="2" t="s">
        <v>655</v>
      </c>
      <c r="T109" s="2" t="s">
        <v>653</v>
      </c>
      <c r="U109" s="2"/>
      <c r="V109" s="4" t="s">
        <v>46</v>
      </c>
      <c r="W109" s="3" t="s">
        <v>652</v>
      </c>
      <c r="X109" s="2"/>
      <c r="Y109" s="4"/>
      <c r="Z109" s="4"/>
      <c r="AA109" s="14" t="s">
        <v>48</v>
      </c>
      <c r="AB109" s="14" t="s">
        <v>49</v>
      </c>
      <c r="AC109" s="14" t="s">
        <v>50</v>
      </c>
    </row>
    <row r="110" spans="1:29" ht="72" customHeight="1" x14ac:dyDescent="0.25">
      <c r="A110" s="2" t="s">
        <v>624</v>
      </c>
      <c r="B110" s="2" t="s">
        <v>625</v>
      </c>
      <c r="C110" s="2" t="s">
        <v>32</v>
      </c>
      <c r="D110" s="2" t="s">
        <v>656</v>
      </c>
      <c r="E110" s="2" t="s">
        <v>656</v>
      </c>
      <c r="F110" s="2" t="s">
        <v>657</v>
      </c>
      <c r="G110" s="2" t="s">
        <v>658</v>
      </c>
      <c r="H110" s="3" t="s">
        <v>659</v>
      </c>
      <c r="I110" s="4" t="s">
        <v>630</v>
      </c>
      <c r="J110" s="4" t="s">
        <v>660</v>
      </c>
      <c r="K110" s="4" t="s">
        <v>661</v>
      </c>
      <c r="L110" s="2" t="s">
        <v>658</v>
      </c>
      <c r="M110" s="2" t="s">
        <v>662</v>
      </c>
      <c r="N110" s="4" t="s">
        <v>54</v>
      </c>
      <c r="O110" s="4" t="s">
        <v>42</v>
      </c>
      <c r="P110" s="2" t="s">
        <v>663</v>
      </c>
      <c r="Q110" s="2" t="s">
        <v>664</v>
      </c>
      <c r="R110" s="2" t="s">
        <v>662</v>
      </c>
      <c r="S110" s="2" t="s">
        <v>665</v>
      </c>
      <c r="T110" s="2" t="s">
        <v>662</v>
      </c>
      <c r="U110" s="2"/>
      <c r="V110" s="4" t="s">
        <v>46</v>
      </c>
      <c r="W110" s="3" t="s">
        <v>659</v>
      </c>
      <c r="X110" s="2"/>
      <c r="Y110" s="4"/>
      <c r="Z110" s="4"/>
      <c r="AA110" s="14" t="s">
        <v>48</v>
      </c>
      <c r="AB110" s="14" t="s">
        <v>49</v>
      </c>
      <c r="AC110" s="14" t="s">
        <v>50</v>
      </c>
    </row>
    <row r="111" spans="1:29" ht="72" customHeight="1" x14ac:dyDescent="0.25">
      <c r="A111" s="2" t="s">
        <v>624</v>
      </c>
      <c r="B111" s="2" t="s">
        <v>625</v>
      </c>
      <c r="C111" s="2" t="s">
        <v>32</v>
      </c>
      <c r="D111" s="2" t="s">
        <v>656</v>
      </c>
      <c r="E111" s="2" t="s">
        <v>656</v>
      </c>
      <c r="F111" s="2" t="s">
        <v>657</v>
      </c>
      <c r="G111" s="2" t="s">
        <v>666</v>
      </c>
      <c r="H111" s="3" t="s">
        <v>667</v>
      </c>
      <c r="I111" s="4" t="s">
        <v>630</v>
      </c>
      <c r="J111" s="4" t="s">
        <v>660</v>
      </c>
      <c r="K111" s="4" t="s">
        <v>661</v>
      </c>
      <c r="L111" s="2" t="s">
        <v>666</v>
      </c>
      <c r="M111" s="2" t="s">
        <v>668</v>
      </c>
      <c r="N111" s="4" t="s">
        <v>61</v>
      </c>
      <c r="O111" s="4" t="s">
        <v>42</v>
      </c>
      <c r="P111" s="2" t="s">
        <v>669</v>
      </c>
      <c r="Q111" s="2" t="s">
        <v>374</v>
      </c>
      <c r="R111" s="2" t="s">
        <v>668</v>
      </c>
      <c r="S111" s="2" t="s">
        <v>670</v>
      </c>
      <c r="T111" s="2" t="s">
        <v>668</v>
      </c>
      <c r="U111" s="2"/>
      <c r="V111" s="4" t="s">
        <v>46</v>
      </c>
      <c r="W111" s="3" t="s">
        <v>667</v>
      </c>
      <c r="X111" s="2"/>
      <c r="Y111" s="4"/>
      <c r="Z111" s="4"/>
      <c r="AA111" s="14" t="s">
        <v>48</v>
      </c>
      <c r="AB111" s="14" t="s">
        <v>49</v>
      </c>
      <c r="AC111" s="14" t="s">
        <v>50</v>
      </c>
    </row>
    <row r="112" spans="1:29" ht="72" customHeight="1" x14ac:dyDescent="0.25">
      <c r="A112" s="2" t="s">
        <v>624</v>
      </c>
      <c r="B112" s="2" t="s">
        <v>625</v>
      </c>
      <c r="C112" s="2" t="s">
        <v>32</v>
      </c>
      <c r="D112" s="2" t="s">
        <v>656</v>
      </c>
      <c r="E112" s="2" t="s">
        <v>656</v>
      </c>
      <c r="F112" s="2" t="s">
        <v>657</v>
      </c>
      <c r="G112" s="2" t="s">
        <v>671</v>
      </c>
      <c r="H112" s="3" t="s">
        <v>672</v>
      </c>
      <c r="I112" s="4" t="s">
        <v>630</v>
      </c>
      <c r="J112" s="4" t="s">
        <v>660</v>
      </c>
      <c r="K112" s="4" t="s">
        <v>661</v>
      </c>
      <c r="L112" s="2" t="s">
        <v>671</v>
      </c>
      <c r="M112" s="2" t="s">
        <v>673</v>
      </c>
      <c r="N112" s="4" t="s">
        <v>61</v>
      </c>
      <c r="O112" s="4" t="s">
        <v>42</v>
      </c>
      <c r="P112" s="2" t="s">
        <v>669</v>
      </c>
      <c r="Q112" s="2" t="s">
        <v>374</v>
      </c>
      <c r="R112" s="2" t="s">
        <v>673</v>
      </c>
      <c r="S112" s="2" t="s">
        <v>674</v>
      </c>
      <c r="T112" s="2" t="s">
        <v>673</v>
      </c>
      <c r="U112" s="2"/>
      <c r="V112" s="4" t="s">
        <v>46</v>
      </c>
      <c r="W112" s="3" t="s">
        <v>672</v>
      </c>
      <c r="X112" s="2"/>
      <c r="Y112" s="4"/>
      <c r="Z112" s="4"/>
      <c r="AA112" s="14" t="s">
        <v>48</v>
      </c>
      <c r="AB112" s="14" t="s">
        <v>49</v>
      </c>
      <c r="AC112" s="14" t="s">
        <v>50</v>
      </c>
    </row>
    <row r="113" spans="1:29" ht="72" customHeight="1" x14ac:dyDescent="0.25">
      <c r="A113" s="2" t="s">
        <v>624</v>
      </c>
      <c r="B113" s="2" t="s">
        <v>625</v>
      </c>
      <c r="C113" s="2" t="s">
        <v>32</v>
      </c>
      <c r="D113" s="2" t="s">
        <v>656</v>
      </c>
      <c r="E113" s="2" t="s">
        <v>656</v>
      </c>
      <c r="F113" s="2" t="s">
        <v>657</v>
      </c>
      <c r="G113" s="2" t="s">
        <v>675</v>
      </c>
      <c r="H113" s="3" t="s">
        <v>676</v>
      </c>
      <c r="I113" s="4" t="s">
        <v>630</v>
      </c>
      <c r="J113" s="4" t="s">
        <v>660</v>
      </c>
      <c r="K113" s="4" t="s">
        <v>661</v>
      </c>
      <c r="L113" s="2" t="s">
        <v>675</v>
      </c>
      <c r="M113" s="2" t="s">
        <v>677</v>
      </c>
      <c r="N113" s="4" t="s">
        <v>61</v>
      </c>
      <c r="O113" s="4" t="s">
        <v>42</v>
      </c>
      <c r="P113" s="2" t="s">
        <v>669</v>
      </c>
      <c r="Q113" s="2" t="s">
        <v>374</v>
      </c>
      <c r="R113" s="2" t="s">
        <v>677</v>
      </c>
      <c r="S113" s="2" t="s">
        <v>678</v>
      </c>
      <c r="T113" s="2" t="s">
        <v>677</v>
      </c>
      <c r="U113" s="2"/>
      <c r="V113" s="4" t="s">
        <v>46</v>
      </c>
      <c r="W113" s="3" t="s">
        <v>676</v>
      </c>
      <c r="X113" s="2"/>
      <c r="Y113" s="4"/>
      <c r="Z113" s="4"/>
      <c r="AA113" s="14" t="s">
        <v>48</v>
      </c>
      <c r="AB113" s="14" t="s">
        <v>49</v>
      </c>
      <c r="AC113" s="14" t="s">
        <v>50</v>
      </c>
    </row>
    <row r="114" spans="1:29" ht="72" customHeight="1" x14ac:dyDescent="0.25">
      <c r="A114" s="2" t="s">
        <v>624</v>
      </c>
      <c r="B114" s="2" t="s">
        <v>625</v>
      </c>
      <c r="C114" s="2" t="s">
        <v>32</v>
      </c>
      <c r="D114" s="2" t="s">
        <v>656</v>
      </c>
      <c r="E114" s="2" t="s">
        <v>656</v>
      </c>
      <c r="F114" s="2" t="s">
        <v>657</v>
      </c>
      <c r="G114" s="2" t="s">
        <v>679</v>
      </c>
      <c r="H114" s="3" t="s">
        <v>680</v>
      </c>
      <c r="I114" s="4" t="s">
        <v>630</v>
      </c>
      <c r="J114" s="4" t="s">
        <v>660</v>
      </c>
      <c r="K114" s="4" t="s">
        <v>661</v>
      </c>
      <c r="L114" s="2" t="s">
        <v>679</v>
      </c>
      <c r="M114" s="2" t="s">
        <v>681</v>
      </c>
      <c r="N114" s="4" t="s">
        <v>61</v>
      </c>
      <c r="O114" s="4" t="s">
        <v>42</v>
      </c>
      <c r="P114" s="2" t="s">
        <v>669</v>
      </c>
      <c r="Q114" s="2" t="s">
        <v>374</v>
      </c>
      <c r="R114" s="2" t="s">
        <v>681</v>
      </c>
      <c r="S114" s="2" t="s">
        <v>682</v>
      </c>
      <c r="T114" s="2" t="s">
        <v>681</v>
      </c>
      <c r="U114" s="2"/>
      <c r="V114" s="4" t="s">
        <v>46</v>
      </c>
      <c r="W114" s="3" t="s">
        <v>680</v>
      </c>
      <c r="X114" s="2"/>
      <c r="Y114" s="4"/>
      <c r="Z114" s="4"/>
      <c r="AA114" s="14" t="s">
        <v>48</v>
      </c>
      <c r="AB114" s="14" t="s">
        <v>49</v>
      </c>
      <c r="AC114" s="14" t="s">
        <v>50</v>
      </c>
    </row>
    <row r="115" spans="1:29" ht="72" customHeight="1" x14ac:dyDescent="0.25">
      <c r="A115" s="2" t="s">
        <v>624</v>
      </c>
      <c r="B115" s="2" t="s">
        <v>625</v>
      </c>
      <c r="C115" s="2" t="s">
        <v>32</v>
      </c>
      <c r="D115" s="2" t="s">
        <v>656</v>
      </c>
      <c r="E115" s="2" t="s">
        <v>656</v>
      </c>
      <c r="F115" s="2" t="s">
        <v>657</v>
      </c>
      <c r="G115" s="2" t="s">
        <v>683</v>
      </c>
      <c r="H115" s="3" t="s">
        <v>684</v>
      </c>
      <c r="I115" s="4" t="s">
        <v>630</v>
      </c>
      <c r="J115" s="4" t="s">
        <v>660</v>
      </c>
      <c r="K115" s="4" t="s">
        <v>661</v>
      </c>
      <c r="L115" s="2" t="s">
        <v>683</v>
      </c>
      <c r="M115" s="2" t="s">
        <v>685</v>
      </c>
      <c r="N115" s="4" t="s">
        <v>61</v>
      </c>
      <c r="O115" s="4" t="s">
        <v>42</v>
      </c>
      <c r="P115" s="2" t="s">
        <v>669</v>
      </c>
      <c r="Q115" s="2" t="s">
        <v>374</v>
      </c>
      <c r="R115" s="2" t="s">
        <v>685</v>
      </c>
      <c r="S115" s="2" t="s">
        <v>686</v>
      </c>
      <c r="T115" s="2" t="s">
        <v>685</v>
      </c>
      <c r="U115" s="2"/>
      <c r="V115" s="4" t="s">
        <v>46</v>
      </c>
      <c r="W115" s="3" t="s">
        <v>684</v>
      </c>
      <c r="X115" s="2"/>
      <c r="Y115" s="4"/>
      <c r="Z115" s="4"/>
      <c r="AA115" s="14" t="s">
        <v>48</v>
      </c>
      <c r="AB115" s="14" t="s">
        <v>49</v>
      </c>
      <c r="AC115" s="14" t="s">
        <v>50</v>
      </c>
    </row>
    <row r="116" spans="1:29" ht="72" customHeight="1" x14ac:dyDescent="0.25">
      <c r="A116" s="2" t="s">
        <v>624</v>
      </c>
      <c r="B116" s="2" t="s">
        <v>625</v>
      </c>
      <c r="C116" s="2" t="s">
        <v>32</v>
      </c>
      <c r="D116" s="2" t="s">
        <v>656</v>
      </c>
      <c r="E116" s="2" t="s">
        <v>656</v>
      </c>
      <c r="F116" s="2" t="s">
        <v>657</v>
      </c>
      <c r="G116" s="2" t="s">
        <v>687</v>
      </c>
      <c r="H116" s="3" t="s">
        <v>688</v>
      </c>
      <c r="I116" s="4" t="s">
        <v>630</v>
      </c>
      <c r="J116" s="4" t="s">
        <v>660</v>
      </c>
      <c r="K116" s="4" t="s">
        <v>661</v>
      </c>
      <c r="L116" s="2" t="s">
        <v>687</v>
      </c>
      <c r="M116" s="2" t="s">
        <v>689</v>
      </c>
      <c r="N116" s="4" t="s">
        <v>54</v>
      </c>
      <c r="O116" s="4" t="s">
        <v>42</v>
      </c>
      <c r="P116" s="2" t="s">
        <v>690</v>
      </c>
      <c r="Q116" s="2" t="s">
        <v>664</v>
      </c>
      <c r="R116" s="2" t="s">
        <v>689</v>
      </c>
      <c r="S116" s="2" t="s">
        <v>691</v>
      </c>
      <c r="T116" s="2" t="s">
        <v>689</v>
      </c>
      <c r="U116" s="2"/>
      <c r="V116" s="4" t="s">
        <v>46</v>
      </c>
      <c r="W116" s="3" t="s">
        <v>688</v>
      </c>
      <c r="X116" s="2"/>
      <c r="Y116" s="4"/>
      <c r="Z116" s="4"/>
      <c r="AA116" s="14" t="s">
        <v>48</v>
      </c>
      <c r="AB116" s="14" t="s">
        <v>49</v>
      </c>
      <c r="AC116" s="14" t="s">
        <v>50</v>
      </c>
    </row>
    <row r="117" spans="1:29" ht="72" customHeight="1" x14ac:dyDescent="0.25">
      <c r="A117" s="2" t="s">
        <v>624</v>
      </c>
      <c r="B117" s="2" t="s">
        <v>625</v>
      </c>
      <c r="C117" s="2" t="s">
        <v>32</v>
      </c>
      <c r="D117" s="2" t="s">
        <v>656</v>
      </c>
      <c r="E117" s="2" t="s">
        <v>656</v>
      </c>
      <c r="F117" s="2" t="s">
        <v>657</v>
      </c>
      <c r="G117" s="2" t="s">
        <v>692</v>
      </c>
      <c r="H117" s="3" t="s">
        <v>693</v>
      </c>
      <c r="I117" s="4" t="s">
        <v>630</v>
      </c>
      <c r="J117" s="4" t="s">
        <v>660</v>
      </c>
      <c r="K117" s="4" t="s">
        <v>661</v>
      </c>
      <c r="L117" s="2" t="s">
        <v>692</v>
      </c>
      <c r="M117" s="2" t="s">
        <v>694</v>
      </c>
      <c r="N117" s="4" t="s">
        <v>61</v>
      </c>
      <c r="O117" s="4" t="s">
        <v>42</v>
      </c>
      <c r="P117" s="2" t="s">
        <v>669</v>
      </c>
      <c r="Q117" s="2" t="s">
        <v>374</v>
      </c>
      <c r="R117" s="2" t="s">
        <v>694</v>
      </c>
      <c r="S117" s="2" t="s">
        <v>695</v>
      </c>
      <c r="T117" s="2" t="s">
        <v>694</v>
      </c>
      <c r="U117" s="2"/>
      <c r="V117" s="4" t="s">
        <v>46</v>
      </c>
      <c r="W117" s="3" t="s">
        <v>693</v>
      </c>
      <c r="X117" s="2"/>
      <c r="Y117" s="4"/>
      <c r="Z117" s="4"/>
      <c r="AA117" s="14" t="s">
        <v>48</v>
      </c>
      <c r="AB117" s="14" t="s">
        <v>49</v>
      </c>
      <c r="AC117" s="14" t="s">
        <v>50</v>
      </c>
    </row>
    <row r="118" spans="1:29" ht="72" customHeight="1" x14ac:dyDescent="0.25">
      <c r="A118" s="2" t="s">
        <v>624</v>
      </c>
      <c r="B118" s="2" t="s">
        <v>625</v>
      </c>
      <c r="C118" s="2" t="s">
        <v>32</v>
      </c>
      <c r="D118" s="2" t="s">
        <v>656</v>
      </c>
      <c r="E118" s="2" t="s">
        <v>656</v>
      </c>
      <c r="F118" s="2" t="s">
        <v>657</v>
      </c>
      <c r="G118" s="2" t="s">
        <v>696</v>
      </c>
      <c r="H118" s="3" t="s">
        <v>697</v>
      </c>
      <c r="I118" s="4" t="s">
        <v>630</v>
      </c>
      <c r="J118" s="4" t="s">
        <v>660</v>
      </c>
      <c r="K118" s="4" t="s">
        <v>661</v>
      </c>
      <c r="L118" s="2" t="s">
        <v>696</v>
      </c>
      <c r="M118" s="2" t="s">
        <v>698</v>
      </c>
      <c r="N118" s="4" t="s">
        <v>54</v>
      </c>
      <c r="O118" s="4" t="s">
        <v>42</v>
      </c>
      <c r="P118" s="2" t="s">
        <v>699</v>
      </c>
      <c r="Q118" s="2" t="s">
        <v>664</v>
      </c>
      <c r="R118" s="2" t="s">
        <v>698</v>
      </c>
      <c r="S118" s="2" t="s">
        <v>700</v>
      </c>
      <c r="T118" s="2" t="s">
        <v>698</v>
      </c>
      <c r="U118" s="2"/>
      <c r="V118" s="4" t="s">
        <v>46</v>
      </c>
      <c r="W118" s="3" t="s">
        <v>697</v>
      </c>
      <c r="X118" s="2"/>
      <c r="Y118" s="4"/>
      <c r="Z118" s="4"/>
      <c r="AA118" s="14" t="s">
        <v>48</v>
      </c>
      <c r="AB118" s="14" t="s">
        <v>49</v>
      </c>
      <c r="AC118" s="14" t="s">
        <v>50</v>
      </c>
    </row>
    <row r="119" spans="1:29" ht="72" customHeight="1" x14ac:dyDescent="0.25">
      <c r="A119" s="2" t="s">
        <v>624</v>
      </c>
      <c r="B119" s="2" t="s">
        <v>625</v>
      </c>
      <c r="C119" s="2" t="s">
        <v>32</v>
      </c>
      <c r="D119" s="2" t="s">
        <v>701</v>
      </c>
      <c r="E119" s="2" t="s">
        <v>701</v>
      </c>
      <c r="F119" s="2" t="s">
        <v>702</v>
      </c>
      <c r="G119" s="2" t="s">
        <v>703</v>
      </c>
      <c r="H119" s="3" t="s">
        <v>704</v>
      </c>
      <c r="I119" s="4" t="s">
        <v>630</v>
      </c>
      <c r="J119" s="4" t="s">
        <v>705</v>
      </c>
      <c r="K119" s="4" t="s">
        <v>706</v>
      </c>
      <c r="L119" s="2" t="s">
        <v>703</v>
      </c>
      <c r="M119" s="2" t="s">
        <v>707</v>
      </c>
      <c r="N119" s="4" t="s">
        <v>54</v>
      </c>
      <c r="O119" s="4" t="s">
        <v>42</v>
      </c>
      <c r="P119" s="2" t="s">
        <v>708</v>
      </c>
      <c r="Q119" s="2" t="s">
        <v>664</v>
      </c>
      <c r="R119" s="2" t="s">
        <v>707</v>
      </c>
      <c r="S119" s="2" t="s">
        <v>709</v>
      </c>
      <c r="T119" s="2" t="s">
        <v>707</v>
      </c>
      <c r="U119" s="2"/>
      <c r="V119" s="4" t="s">
        <v>46</v>
      </c>
      <c r="W119" s="3" t="s">
        <v>704</v>
      </c>
      <c r="X119" s="2"/>
      <c r="Y119" s="4"/>
      <c r="Z119" s="4"/>
      <c r="AA119" s="14" t="s">
        <v>48</v>
      </c>
      <c r="AB119" s="14" t="s">
        <v>49</v>
      </c>
      <c r="AC119" s="14" t="s">
        <v>50</v>
      </c>
    </row>
    <row r="120" spans="1:29" ht="72" customHeight="1" x14ac:dyDescent="0.25">
      <c r="A120" s="2" t="s">
        <v>624</v>
      </c>
      <c r="B120" s="2" t="s">
        <v>625</v>
      </c>
      <c r="C120" s="2" t="s">
        <v>32</v>
      </c>
      <c r="D120" s="2" t="s">
        <v>701</v>
      </c>
      <c r="E120" s="2" t="s">
        <v>701</v>
      </c>
      <c r="F120" s="2" t="s">
        <v>702</v>
      </c>
      <c r="G120" s="2" t="s">
        <v>710</v>
      </c>
      <c r="H120" s="3" t="s">
        <v>711</v>
      </c>
      <c r="I120" s="4" t="s">
        <v>630</v>
      </c>
      <c r="J120" s="4" t="s">
        <v>705</v>
      </c>
      <c r="K120" s="4" t="s">
        <v>706</v>
      </c>
      <c r="L120" s="2" t="s">
        <v>710</v>
      </c>
      <c r="M120" s="2" t="s">
        <v>712</v>
      </c>
      <c r="N120" s="4" t="s">
        <v>54</v>
      </c>
      <c r="O120" s="4" t="s">
        <v>42</v>
      </c>
      <c r="P120" s="2" t="s">
        <v>713</v>
      </c>
      <c r="Q120" s="2" t="s">
        <v>664</v>
      </c>
      <c r="R120" s="2" t="s">
        <v>712</v>
      </c>
      <c r="S120" s="2" t="s">
        <v>714</v>
      </c>
      <c r="T120" s="2" t="s">
        <v>712</v>
      </c>
      <c r="U120" s="2"/>
      <c r="V120" s="4" t="s">
        <v>46</v>
      </c>
      <c r="W120" s="3" t="s">
        <v>711</v>
      </c>
      <c r="X120" s="2"/>
      <c r="Y120" s="4"/>
      <c r="Z120" s="4"/>
      <c r="AA120" s="14" t="s">
        <v>48</v>
      </c>
      <c r="AB120" s="14" t="s">
        <v>49</v>
      </c>
      <c r="AC120" s="14" t="s">
        <v>50</v>
      </c>
    </row>
    <row r="121" spans="1:29" ht="72" customHeight="1" x14ac:dyDescent="0.25">
      <c r="A121" s="2" t="s">
        <v>624</v>
      </c>
      <c r="B121" s="2" t="s">
        <v>625</v>
      </c>
      <c r="C121" s="2" t="s">
        <v>32</v>
      </c>
      <c r="D121" s="2" t="s">
        <v>701</v>
      </c>
      <c r="E121" s="2" t="s">
        <v>701</v>
      </c>
      <c r="F121" s="2" t="s">
        <v>702</v>
      </c>
      <c r="G121" s="2" t="s">
        <v>715</v>
      </c>
      <c r="H121" s="3" t="s">
        <v>716</v>
      </c>
      <c r="I121" s="4" t="s">
        <v>630</v>
      </c>
      <c r="J121" s="4" t="s">
        <v>705</v>
      </c>
      <c r="K121" s="4" t="s">
        <v>706</v>
      </c>
      <c r="L121" s="2" t="s">
        <v>715</v>
      </c>
      <c r="M121" s="2" t="s">
        <v>717</v>
      </c>
      <c r="N121" s="4" t="s">
        <v>61</v>
      </c>
      <c r="O121" s="4" t="s">
        <v>42</v>
      </c>
      <c r="P121" s="2" t="s">
        <v>718</v>
      </c>
      <c r="Q121" s="2" t="s">
        <v>374</v>
      </c>
      <c r="R121" s="2" t="s">
        <v>717</v>
      </c>
      <c r="S121" s="2" t="s">
        <v>719</v>
      </c>
      <c r="T121" s="2" t="s">
        <v>717</v>
      </c>
      <c r="U121" s="2"/>
      <c r="V121" s="4" t="s">
        <v>46</v>
      </c>
      <c r="W121" s="3" t="s">
        <v>716</v>
      </c>
      <c r="X121" s="2"/>
      <c r="Y121" s="4"/>
      <c r="Z121" s="4"/>
      <c r="AA121" s="14" t="s">
        <v>48</v>
      </c>
      <c r="AB121" s="14" t="s">
        <v>49</v>
      </c>
      <c r="AC121" s="14" t="s">
        <v>50</v>
      </c>
    </row>
    <row r="122" spans="1:29" ht="72" customHeight="1" x14ac:dyDescent="0.25">
      <c r="A122" s="2" t="s">
        <v>624</v>
      </c>
      <c r="B122" s="2" t="s">
        <v>625</v>
      </c>
      <c r="C122" s="2" t="s">
        <v>32</v>
      </c>
      <c r="D122" s="2" t="s">
        <v>701</v>
      </c>
      <c r="E122" s="2" t="s">
        <v>701</v>
      </c>
      <c r="F122" s="2" t="s">
        <v>702</v>
      </c>
      <c r="G122" s="2" t="s">
        <v>720</v>
      </c>
      <c r="H122" s="3" t="s">
        <v>721</v>
      </c>
      <c r="I122" s="4" t="s">
        <v>630</v>
      </c>
      <c r="J122" s="4" t="s">
        <v>705</v>
      </c>
      <c r="K122" s="4" t="s">
        <v>706</v>
      </c>
      <c r="L122" s="2" t="s">
        <v>720</v>
      </c>
      <c r="M122" s="2" t="s">
        <v>722</v>
      </c>
      <c r="N122" s="4" t="s">
        <v>61</v>
      </c>
      <c r="O122" s="4" t="s">
        <v>42</v>
      </c>
      <c r="P122" s="2" t="s">
        <v>555</v>
      </c>
      <c r="Q122" s="2" t="s">
        <v>374</v>
      </c>
      <c r="R122" s="2" t="s">
        <v>722</v>
      </c>
      <c r="S122" s="2" t="s">
        <v>723</v>
      </c>
      <c r="T122" s="2" t="s">
        <v>722</v>
      </c>
      <c r="U122" s="2"/>
      <c r="V122" s="4" t="s">
        <v>46</v>
      </c>
      <c r="W122" s="3" t="s">
        <v>721</v>
      </c>
      <c r="X122" s="2"/>
      <c r="Y122" s="4"/>
      <c r="Z122" s="4"/>
      <c r="AA122" s="14" t="s">
        <v>48</v>
      </c>
      <c r="AB122" s="14" t="s">
        <v>49</v>
      </c>
      <c r="AC122" s="14" t="s">
        <v>50</v>
      </c>
    </row>
    <row r="123" spans="1:29" ht="72" customHeight="1" x14ac:dyDescent="0.25">
      <c r="A123" s="2" t="s">
        <v>624</v>
      </c>
      <c r="B123" s="2" t="s">
        <v>625</v>
      </c>
      <c r="C123" s="2" t="s">
        <v>32</v>
      </c>
      <c r="D123" s="2" t="s">
        <v>701</v>
      </c>
      <c r="E123" s="2" t="s">
        <v>701</v>
      </c>
      <c r="F123" s="2" t="s">
        <v>702</v>
      </c>
      <c r="G123" s="2" t="s">
        <v>724</v>
      </c>
      <c r="H123" s="3" t="s">
        <v>725</v>
      </c>
      <c r="I123" s="4" t="s">
        <v>630</v>
      </c>
      <c r="J123" s="4" t="s">
        <v>705</v>
      </c>
      <c r="K123" s="4" t="s">
        <v>706</v>
      </c>
      <c r="L123" s="2" t="s">
        <v>724</v>
      </c>
      <c r="M123" s="2" t="s">
        <v>726</v>
      </c>
      <c r="N123" s="4" t="s">
        <v>61</v>
      </c>
      <c r="O123" s="4" t="s">
        <v>42</v>
      </c>
      <c r="P123" s="2" t="s">
        <v>727</v>
      </c>
      <c r="Q123" s="2" t="s">
        <v>353</v>
      </c>
      <c r="R123" s="2" t="s">
        <v>726</v>
      </c>
      <c r="S123" s="2" t="s">
        <v>728</v>
      </c>
      <c r="T123" s="2" t="s">
        <v>726</v>
      </c>
      <c r="U123" s="2"/>
      <c r="V123" s="4" t="s">
        <v>46</v>
      </c>
      <c r="W123" s="3" t="s">
        <v>725</v>
      </c>
      <c r="X123" s="2"/>
      <c r="Y123" s="4"/>
      <c r="Z123" s="4"/>
      <c r="AA123" s="14" t="s">
        <v>48</v>
      </c>
      <c r="AB123" s="14" t="s">
        <v>49</v>
      </c>
      <c r="AC123" s="14" t="s">
        <v>50</v>
      </c>
    </row>
    <row r="124" spans="1:29" ht="72" customHeight="1" x14ac:dyDescent="0.25">
      <c r="A124" s="2" t="s">
        <v>312</v>
      </c>
      <c r="B124" s="2" t="s">
        <v>729</v>
      </c>
      <c r="C124" s="2" t="s">
        <v>32</v>
      </c>
      <c r="D124" s="2" t="s">
        <v>730</v>
      </c>
      <c r="E124" s="2" t="s">
        <v>731</v>
      </c>
      <c r="F124" s="2" t="s">
        <v>730</v>
      </c>
      <c r="G124" s="2" t="s">
        <v>732</v>
      </c>
      <c r="H124" s="3" t="s">
        <v>733</v>
      </c>
      <c r="I124" s="4"/>
      <c r="J124" s="4" t="s">
        <v>734</v>
      </c>
      <c r="K124" s="4" t="s">
        <v>735</v>
      </c>
      <c r="L124" s="2" t="s">
        <v>732</v>
      </c>
      <c r="M124" s="2" t="s">
        <v>736</v>
      </c>
      <c r="N124" s="4" t="s">
        <v>41</v>
      </c>
      <c r="O124" s="4" t="s">
        <v>172</v>
      </c>
      <c r="P124" s="2" t="s">
        <v>737</v>
      </c>
      <c r="Q124" s="2" t="s">
        <v>566</v>
      </c>
      <c r="R124" s="2" t="s">
        <v>736</v>
      </c>
      <c r="S124" s="2" t="s">
        <v>738</v>
      </c>
      <c r="T124" s="2" t="s">
        <v>736</v>
      </c>
      <c r="U124" s="2"/>
      <c r="V124" s="4" t="s">
        <v>46</v>
      </c>
      <c r="W124" s="3" t="s">
        <v>733</v>
      </c>
      <c r="X124" s="2"/>
      <c r="Y124" s="4"/>
      <c r="Z124" s="4"/>
      <c r="AA124" s="14" t="s">
        <v>48</v>
      </c>
      <c r="AB124" s="14" t="s">
        <v>49</v>
      </c>
      <c r="AC124" s="14" t="s">
        <v>50</v>
      </c>
    </row>
    <row r="125" spans="1:29" ht="72" customHeight="1" x14ac:dyDescent="0.25">
      <c r="A125" s="2" t="s">
        <v>312</v>
      </c>
      <c r="B125" s="2" t="s">
        <v>729</v>
      </c>
      <c r="C125" s="2" t="s">
        <v>32</v>
      </c>
      <c r="D125" s="2" t="s">
        <v>730</v>
      </c>
      <c r="E125" s="2" t="s">
        <v>731</v>
      </c>
      <c r="F125" s="2" t="s">
        <v>730</v>
      </c>
      <c r="G125" s="2" t="s">
        <v>739</v>
      </c>
      <c r="H125" s="3" t="s">
        <v>740</v>
      </c>
      <c r="I125" s="4"/>
      <c r="J125" s="4" t="s">
        <v>734</v>
      </c>
      <c r="K125" s="4" t="s">
        <v>735</v>
      </c>
      <c r="L125" s="2" t="s">
        <v>739</v>
      </c>
      <c r="M125" s="2" t="s">
        <v>741</v>
      </c>
      <c r="N125" s="4" t="s">
        <v>41</v>
      </c>
      <c r="O125" s="4" t="s">
        <v>172</v>
      </c>
      <c r="P125" s="2" t="s">
        <v>742</v>
      </c>
      <c r="Q125" s="2" t="s">
        <v>374</v>
      </c>
      <c r="R125" s="2" t="s">
        <v>741</v>
      </c>
      <c r="S125" s="2" t="s">
        <v>743</v>
      </c>
      <c r="T125" s="2" t="s">
        <v>741</v>
      </c>
      <c r="U125" s="2"/>
      <c r="V125" s="4" t="s">
        <v>46</v>
      </c>
      <c r="W125" s="3" t="s">
        <v>740</v>
      </c>
      <c r="X125" s="2"/>
      <c r="Y125" s="4"/>
      <c r="Z125" s="4"/>
      <c r="AA125" s="14" t="s">
        <v>48</v>
      </c>
      <c r="AB125" s="14" t="s">
        <v>49</v>
      </c>
      <c r="AC125" s="14" t="s">
        <v>50</v>
      </c>
    </row>
    <row r="126" spans="1:29" ht="72" customHeight="1" x14ac:dyDescent="0.25">
      <c r="A126" s="2" t="s">
        <v>312</v>
      </c>
      <c r="B126" s="2" t="s">
        <v>729</v>
      </c>
      <c r="C126" s="2" t="s">
        <v>32</v>
      </c>
      <c r="D126" s="2" t="s">
        <v>730</v>
      </c>
      <c r="E126" s="2" t="s">
        <v>731</v>
      </c>
      <c r="F126" s="2" t="s">
        <v>730</v>
      </c>
      <c r="G126" s="2" t="s">
        <v>744</v>
      </c>
      <c r="H126" s="3" t="s">
        <v>745</v>
      </c>
      <c r="I126" s="4"/>
      <c r="J126" s="4" t="s">
        <v>734</v>
      </c>
      <c r="K126" s="4" t="s">
        <v>735</v>
      </c>
      <c r="L126" s="2" t="s">
        <v>744</v>
      </c>
      <c r="M126" s="2" t="s">
        <v>746</v>
      </c>
      <c r="N126" s="4" t="s">
        <v>41</v>
      </c>
      <c r="O126" s="4" t="s">
        <v>172</v>
      </c>
      <c r="P126" s="2" t="s">
        <v>328</v>
      </c>
      <c r="Q126" s="2" t="s">
        <v>664</v>
      </c>
      <c r="R126" s="2" t="s">
        <v>746</v>
      </c>
      <c r="S126" s="2" t="s">
        <v>533</v>
      </c>
      <c r="T126" s="2" t="s">
        <v>746</v>
      </c>
      <c r="U126" s="2"/>
      <c r="V126" s="4" t="s">
        <v>46</v>
      </c>
      <c r="W126" s="3" t="s">
        <v>745</v>
      </c>
      <c r="X126" s="2"/>
      <c r="Y126" s="4"/>
      <c r="Z126" s="4"/>
      <c r="AA126" s="14" t="s">
        <v>48</v>
      </c>
      <c r="AB126" s="14" t="s">
        <v>49</v>
      </c>
      <c r="AC126" s="14" t="s">
        <v>50</v>
      </c>
    </row>
    <row r="127" spans="1:29" ht="72" customHeight="1" x14ac:dyDescent="0.25">
      <c r="A127" s="2" t="s">
        <v>312</v>
      </c>
      <c r="B127" s="2" t="s">
        <v>729</v>
      </c>
      <c r="C127" s="2" t="s">
        <v>32</v>
      </c>
      <c r="D127" s="2" t="s">
        <v>730</v>
      </c>
      <c r="E127" s="2" t="s">
        <v>731</v>
      </c>
      <c r="F127" s="2" t="s">
        <v>730</v>
      </c>
      <c r="G127" s="2" t="s">
        <v>747</v>
      </c>
      <c r="H127" s="3" t="s">
        <v>748</v>
      </c>
      <c r="I127" s="4"/>
      <c r="J127" s="4" t="s">
        <v>734</v>
      </c>
      <c r="K127" s="4" t="s">
        <v>735</v>
      </c>
      <c r="L127" s="2" t="s">
        <v>747</v>
      </c>
      <c r="M127" s="2" t="s">
        <v>749</v>
      </c>
      <c r="N127" s="4" t="s">
        <v>41</v>
      </c>
      <c r="O127" s="4" t="s">
        <v>172</v>
      </c>
      <c r="P127" s="2" t="s">
        <v>328</v>
      </c>
      <c r="Q127" s="2" t="s">
        <v>374</v>
      </c>
      <c r="R127" s="2" t="s">
        <v>749</v>
      </c>
      <c r="S127" s="2" t="s">
        <v>533</v>
      </c>
      <c r="T127" s="2" t="s">
        <v>749</v>
      </c>
      <c r="U127" s="2"/>
      <c r="V127" s="4" t="s">
        <v>46</v>
      </c>
      <c r="W127" s="3" t="s">
        <v>748</v>
      </c>
      <c r="X127" s="2"/>
      <c r="Y127" s="4"/>
      <c r="Z127" s="4"/>
      <c r="AA127" s="14" t="s">
        <v>48</v>
      </c>
      <c r="AB127" s="14" t="s">
        <v>49</v>
      </c>
      <c r="AC127" s="14" t="s">
        <v>50</v>
      </c>
    </row>
    <row r="128" spans="1:29" ht="72" customHeight="1" x14ac:dyDescent="0.25">
      <c r="A128" s="2" t="s">
        <v>312</v>
      </c>
      <c r="B128" s="2" t="s">
        <v>729</v>
      </c>
      <c r="C128" s="2" t="s">
        <v>32</v>
      </c>
      <c r="D128" s="2" t="s">
        <v>730</v>
      </c>
      <c r="E128" s="2" t="s">
        <v>731</v>
      </c>
      <c r="F128" s="2" t="s">
        <v>730</v>
      </c>
      <c r="G128" s="2" t="s">
        <v>750</v>
      </c>
      <c r="H128" s="3" t="s">
        <v>751</v>
      </c>
      <c r="I128" s="4"/>
      <c r="J128" s="4" t="s">
        <v>734</v>
      </c>
      <c r="K128" s="4" t="s">
        <v>735</v>
      </c>
      <c r="L128" s="2" t="s">
        <v>750</v>
      </c>
      <c r="M128" s="2" t="s">
        <v>752</v>
      </c>
      <c r="N128" s="4" t="s">
        <v>41</v>
      </c>
      <c r="O128" s="4" t="s">
        <v>172</v>
      </c>
      <c r="P128" s="2" t="s">
        <v>328</v>
      </c>
      <c r="Q128" s="2" t="s">
        <v>566</v>
      </c>
      <c r="R128" s="2" t="s">
        <v>752</v>
      </c>
      <c r="S128" s="2" t="s">
        <v>533</v>
      </c>
      <c r="T128" s="2" t="s">
        <v>752</v>
      </c>
      <c r="U128" s="2"/>
      <c r="V128" s="4" t="s">
        <v>46</v>
      </c>
      <c r="W128" s="3" t="s">
        <v>751</v>
      </c>
      <c r="X128" s="2"/>
      <c r="Y128" s="4"/>
      <c r="Z128" s="4"/>
      <c r="AA128" s="14" t="s">
        <v>48</v>
      </c>
      <c r="AB128" s="14" t="s">
        <v>49</v>
      </c>
      <c r="AC128" s="14" t="s">
        <v>50</v>
      </c>
    </row>
    <row r="129" spans="1:29" ht="72" customHeight="1" x14ac:dyDescent="0.25">
      <c r="A129" s="2" t="s">
        <v>312</v>
      </c>
      <c r="B129" s="2" t="s">
        <v>729</v>
      </c>
      <c r="C129" s="2" t="s">
        <v>32</v>
      </c>
      <c r="D129" s="2" t="s">
        <v>730</v>
      </c>
      <c r="E129" s="2" t="s">
        <v>731</v>
      </c>
      <c r="F129" s="2" t="s">
        <v>730</v>
      </c>
      <c r="G129" s="2" t="s">
        <v>753</v>
      </c>
      <c r="H129" s="3" t="s">
        <v>754</v>
      </c>
      <c r="I129" s="4"/>
      <c r="J129" s="4" t="s">
        <v>734</v>
      </c>
      <c r="K129" s="4" t="s">
        <v>735</v>
      </c>
      <c r="L129" s="2" t="s">
        <v>753</v>
      </c>
      <c r="M129" s="2" t="s">
        <v>755</v>
      </c>
      <c r="N129" s="4" t="s">
        <v>41</v>
      </c>
      <c r="O129" s="4" t="s">
        <v>172</v>
      </c>
      <c r="P129" s="2" t="s">
        <v>328</v>
      </c>
      <c r="Q129" s="2" t="s">
        <v>664</v>
      </c>
      <c r="R129" s="2" t="s">
        <v>755</v>
      </c>
      <c r="S129" s="2" t="s">
        <v>533</v>
      </c>
      <c r="T129" s="2" t="s">
        <v>755</v>
      </c>
      <c r="U129" s="2"/>
      <c r="V129" s="4" t="s">
        <v>46</v>
      </c>
      <c r="W129" s="3" t="s">
        <v>754</v>
      </c>
      <c r="X129" s="2"/>
      <c r="Y129" s="4"/>
      <c r="Z129" s="4"/>
      <c r="AA129" s="14" t="s">
        <v>48</v>
      </c>
      <c r="AB129" s="14" t="s">
        <v>49</v>
      </c>
      <c r="AC129" s="14" t="s">
        <v>50</v>
      </c>
    </row>
    <row r="130" spans="1:29" ht="72" customHeight="1" x14ac:dyDescent="0.25">
      <c r="A130" s="2" t="s">
        <v>30</v>
      </c>
      <c r="B130" s="2" t="s">
        <v>31</v>
      </c>
      <c r="C130" s="2" t="s">
        <v>32</v>
      </c>
      <c r="D130" s="2" t="s">
        <v>756</v>
      </c>
      <c r="E130" s="2" t="s">
        <v>756</v>
      </c>
      <c r="F130" s="2" t="s">
        <v>757</v>
      </c>
      <c r="G130" s="2" t="s">
        <v>758</v>
      </c>
      <c r="H130" s="3" t="s">
        <v>759</v>
      </c>
      <c r="I130" s="4" t="s">
        <v>37</v>
      </c>
      <c r="J130" s="4" t="s">
        <v>760</v>
      </c>
      <c r="K130" s="4" t="s">
        <v>761</v>
      </c>
      <c r="L130" s="2" t="s">
        <v>758</v>
      </c>
      <c r="M130" s="2" t="s">
        <v>762</v>
      </c>
      <c r="N130" s="4" t="s">
        <v>61</v>
      </c>
      <c r="O130" s="4" t="s">
        <v>42</v>
      </c>
      <c r="P130" s="2" t="s">
        <v>763</v>
      </c>
      <c r="Q130" s="2" t="s">
        <v>374</v>
      </c>
      <c r="R130" s="2" t="s">
        <v>762</v>
      </c>
      <c r="S130" s="2" t="s">
        <v>533</v>
      </c>
      <c r="T130" s="2" t="s">
        <v>762</v>
      </c>
      <c r="U130" s="2"/>
      <c r="V130" s="4" t="s">
        <v>46</v>
      </c>
      <c r="W130" s="3" t="s">
        <v>759</v>
      </c>
      <c r="X130" s="2"/>
      <c r="Y130" s="4"/>
      <c r="Z130" s="4"/>
      <c r="AA130" s="14" t="s">
        <v>48</v>
      </c>
      <c r="AB130" s="14" t="s">
        <v>49</v>
      </c>
      <c r="AC130" s="14" t="s">
        <v>50</v>
      </c>
    </row>
    <row r="131" spans="1:29" ht="72" customHeight="1" x14ac:dyDescent="0.25">
      <c r="A131" s="2" t="s">
        <v>30</v>
      </c>
      <c r="B131" s="2" t="s">
        <v>31</v>
      </c>
      <c r="C131" s="2" t="s">
        <v>32</v>
      </c>
      <c r="D131" s="2" t="s">
        <v>756</v>
      </c>
      <c r="E131" s="2" t="s">
        <v>756</v>
      </c>
      <c r="F131" s="2" t="s">
        <v>757</v>
      </c>
      <c r="G131" s="2" t="s">
        <v>764</v>
      </c>
      <c r="H131" s="3" t="s">
        <v>765</v>
      </c>
      <c r="I131" s="4" t="s">
        <v>37</v>
      </c>
      <c r="J131" s="4" t="s">
        <v>760</v>
      </c>
      <c r="K131" s="4" t="s">
        <v>761</v>
      </c>
      <c r="L131" s="2" t="s">
        <v>764</v>
      </c>
      <c r="M131" s="2" t="s">
        <v>766</v>
      </c>
      <c r="N131" s="4" t="s">
        <v>61</v>
      </c>
      <c r="O131" s="4" t="s">
        <v>42</v>
      </c>
      <c r="P131" s="2" t="s">
        <v>767</v>
      </c>
      <c r="Q131" s="2" t="s">
        <v>374</v>
      </c>
      <c r="R131" s="2" t="s">
        <v>766</v>
      </c>
      <c r="S131" s="2" t="s">
        <v>533</v>
      </c>
      <c r="T131" s="2" t="s">
        <v>766</v>
      </c>
      <c r="U131" s="2"/>
      <c r="V131" s="4" t="s">
        <v>46</v>
      </c>
      <c r="W131" s="3" t="s">
        <v>765</v>
      </c>
      <c r="X131" s="2"/>
      <c r="Y131" s="4"/>
      <c r="Z131" s="4"/>
      <c r="AA131" s="14" t="s">
        <v>48</v>
      </c>
      <c r="AB131" s="14" t="s">
        <v>49</v>
      </c>
      <c r="AC131" s="14" t="s">
        <v>50</v>
      </c>
    </row>
    <row r="132" spans="1:29" ht="72" customHeight="1" x14ac:dyDescent="0.25">
      <c r="A132" s="2" t="s">
        <v>30</v>
      </c>
      <c r="B132" s="2" t="s">
        <v>31</v>
      </c>
      <c r="C132" s="2" t="s">
        <v>32</v>
      </c>
      <c r="D132" s="2" t="s">
        <v>756</v>
      </c>
      <c r="E132" s="2" t="s">
        <v>756</v>
      </c>
      <c r="F132" s="2" t="s">
        <v>757</v>
      </c>
      <c r="G132" s="2" t="s">
        <v>768</v>
      </c>
      <c r="H132" s="3" t="s">
        <v>769</v>
      </c>
      <c r="I132" s="4" t="s">
        <v>37</v>
      </c>
      <c r="J132" s="4" t="s">
        <v>760</v>
      </c>
      <c r="K132" s="4" t="s">
        <v>761</v>
      </c>
      <c r="L132" s="2" t="s">
        <v>768</v>
      </c>
      <c r="M132" s="2" t="s">
        <v>770</v>
      </c>
      <c r="N132" s="4" t="s">
        <v>61</v>
      </c>
      <c r="O132" s="4" t="s">
        <v>42</v>
      </c>
      <c r="P132" s="2" t="s">
        <v>771</v>
      </c>
      <c r="Q132" s="2" t="s">
        <v>374</v>
      </c>
      <c r="R132" s="2" t="s">
        <v>770</v>
      </c>
      <c r="S132" s="2" t="s">
        <v>533</v>
      </c>
      <c r="T132" s="2" t="s">
        <v>770</v>
      </c>
      <c r="U132" s="2"/>
      <c r="V132" s="4" t="s">
        <v>46</v>
      </c>
      <c r="W132" s="3" t="s">
        <v>769</v>
      </c>
      <c r="X132" s="2"/>
      <c r="Y132" s="4"/>
      <c r="Z132" s="4"/>
      <c r="AA132" s="14" t="s">
        <v>48</v>
      </c>
      <c r="AB132" s="14" t="s">
        <v>49</v>
      </c>
      <c r="AC132" s="14" t="s">
        <v>50</v>
      </c>
    </row>
    <row r="133" spans="1:29" ht="72" customHeight="1" x14ac:dyDescent="0.25">
      <c r="A133" s="2" t="s">
        <v>30</v>
      </c>
      <c r="B133" s="2" t="s">
        <v>31</v>
      </c>
      <c r="C133" s="2" t="s">
        <v>32</v>
      </c>
      <c r="D133" s="2" t="s">
        <v>756</v>
      </c>
      <c r="E133" s="2" t="s">
        <v>756</v>
      </c>
      <c r="F133" s="2" t="s">
        <v>757</v>
      </c>
      <c r="G133" s="2" t="s">
        <v>772</v>
      </c>
      <c r="H133" s="3" t="s">
        <v>773</v>
      </c>
      <c r="I133" s="4" t="s">
        <v>37</v>
      </c>
      <c r="J133" s="4" t="s">
        <v>760</v>
      </c>
      <c r="K133" s="4" t="s">
        <v>761</v>
      </c>
      <c r="L133" s="2" t="s">
        <v>772</v>
      </c>
      <c r="M133" s="2" t="s">
        <v>774</v>
      </c>
      <c r="N133" s="4" t="s">
        <v>61</v>
      </c>
      <c r="O133" s="4" t="s">
        <v>42</v>
      </c>
      <c r="P133" s="2" t="s">
        <v>775</v>
      </c>
      <c r="Q133" s="2" t="s">
        <v>374</v>
      </c>
      <c r="R133" s="2" t="s">
        <v>774</v>
      </c>
      <c r="S133" s="2" t="s">
        <v>533</v>
      </c>
      <c r="T133" s="2" t="s">
        <v>774</v>
      </c>
      <c r="U133" s="2"/>
      <c r="V133" s="4" t="s">
        <v>46</v>
      </c>
      <c r="W133" s="3" t="s">
        <v>773</v>
      </c>
      <c r="X133" s="2"/>
      <c r="Y133" s="4"/>
      <c r="Z133" s="4"/>
      <c r="AA133" s="14" t="s">
        <v>48</v>
      </c>
      <c r="AB133" s="14" t="s">
        <v>49</v>
      </c>
      <c r="AC133" s="14" t="s">
        <v>50</v>
      </c>
    </row>
    <row r="134" spans="1:29" ht="80.25" customHeight="1" x14ac:dyDescent="0.25">
      <c r="A134" s="2" t="s">
        <v>30</v>
      </c>
      <c r="B134" s="2" t="s">
        <v>31</v>
      </c>
      <c r="C134" s="2" t="s">
        <v>32</v>
      </c>
      <c r="D134" s="2" t="s">
        <v>756</v>
      </c>
      <c r="E134" s="2" t="s">
        <v>756</v>
      </c>
      <c r="F134" s="2" t="s">
        <v>757</v>
      </c>
      <c r="G134" s="2" t="s">
        <v>776</v>
      </c>
      <c r="H134" s="3" t="s">
        <v>777</v>
      </c>
      <c r="I134" s="4" t="s">
        <v>37</v>
      </c>
      <c r="J134" s="4" t="s">
        <v>760</v>
      </c>
      <c r="K134" s="4" t="s">
        <v>761</v>
      </c>
      <c r="L134" s="2" t="s">
        <v>776</v>
      </c>
      <c r="M134" s="2" t="s">
        <v>778</v>
      </c>
      <c r="N134" s="4" t="s">
        <v>54</v>
      </c>
      <c r="O134" s="4" t="s">
        <v>42</v>
      </c>
      <c r="P134" s="2" t="s">
        <v>779</v>
      </c>
      <c r="Q134" s="2" t="s">
        <v>374</v>
      </c>
      <c r="R134" s="2" t="s">
        <v>778</v>
      </c>
      <c r="S134" s="2" t="s">
        <v>533</v>
      </c>
      <c r="T134" s="2" t="s">
        <v>778</v>
      </c>
      <c r="U134" s="2"/>
      <c r="V134" s="4" t="s">
        <v>46</v>
      </c>
      <c r="W134" s="3" t="s">
        <v>777</v>
      </c>
      <c r="X134" s="2"/>
      <c r="Y134" s="4"/>
      <c r="Z134" s="4"/>
      <c r="AA134" s="14" t="s">
        <v>48</v>
      </c>
      <c r="AB134" s="14" t="s">
        <v>49</v>
      </c>
      <c r="AC134" s="14" t="s">
        <v>50</v>
      </c>
    </row>
    <row r="135" spans="1:29" ht="97.5" customHeight="1" x14ac:dyDescent="0.25">
      <c r="A135" s="2" t="s">
        <v>30</v>
      </c>
      <c r="B135" s="2" t="s">
        <v>31</v>
      </c>
      <c r="C135" s="2" t="s">
        <v>32</v>
      </c>
      <c r="D135" s="2" t="s">
        <v>756</v>
      </c>
      <c r="E135" s="2" t="s">
        <v>756</v>
      </c>
      <c r="F135" s="2" t="s">
        <v>757</v>
      </c>
      <c r="G135" s="2" t="s">
        <v>780</v>
      </c>
      <c r="H135" s="3" t="s">
        <v>781</v>
      </c>
      <c r="I135" s="4" t="s">
        <v>37</v>
      </c>
      <c r="J135" s="4" t="s">
        <v>760</v>
      </c>
      <c r="K135" s="4" t="s">
        <v>761</v>
      </c>
      <c r="L135" s="2" t="s">
        <v>780</v>
      </c>
      <c r="M135" s="2" t="s">
        <v>782</v>
      </c>
      <c r="N135" s="4" t="s">
        <v>61</v>
      </c>
      <c r="O135" s="4" t="s">
        <v>42</v>
      </c>
      <c r="P135" s="2" t="s">
        <v>783</v>
      </c>
      <c r="Q135" s="2" t="s">
        <v>353</v>
      </c>
      <c r="R135" s="2" t="s">
        <v>782</v>
      </c>
      <c r="S135" s="2" t="s">
        <v>533</v>
      </c>
      <c r="T135" s="2" t="s">
        <v>782</v>
      </c>
      <c r="U135" s="2"/>
      <c r="V135" s="4" t="s">
        <v>46</v>
      </c>
      <c r="W135" s="3" t="s">
        <v>781</v>
      </c>
      <c r="X135" s="2"/>
      <c r="Y135" s="4"/>
      <c r="Z135" s="4"/>
      <c r="AA135" s="14" t="s">
        <v>48</v>
      </c>
      <c r="AB135" s="14" t="s">
        <v>49</v>
      </c>
      <c r="AC135" s="14" t="s">
        <v>50</v>
      </c>
    </row>
    <row r="136" spans="1:29" ht="89.25" customHeight="1" x14ac:dyDescent="0.25">
      <c r="A136" s="2" t="s">
        <v>30</v>
      </c>
      <c r="B136" s="2" t="s">
        <v>31</v>
      </c>
      <c r="C136" s="2" t="s">
        <v>32</v>
      </c>
      <c r="D136" s="2" t="s">
        <v>756</v>
      </c>
      <c r="E136" s="2" t="s">
        <v>756</v>
      </c>
      <c r="F136" s="2" t="s">
        <v>757</v>
      </c>
      <c r="G136" s="2" t="s">
        <v>784</v>
      </c>
      <c r="H136" s="3" t="s">
        <v>785</v>
      </c>
      <c r="I136" s="4" t="s">
        <v>37</v>
      </c>
      <c r="J136" s="4" t="s">
        <v>760</v>
      </c>
      <c r="K136" s="4" t="s">
        <v>761</v>
      </c>
      <c r="L136" s="2" t="s">
        <v>784</v>
      </c>
      <c r="M136" s="2" t="s">
        <v>786</v>
      </c>
      <c r="N136" s="4" t="s">
        <v>61</v>
      </c>
      <c r="O136" s="4" t="s">
        <v>42</v>
      </c>
      <c r="P136" s="2" t="s">
        <v>787</v>
      </c>
      <c r="Q136" s="2" t="s">
        <v>374</v>
      </c>
      <c r="R136" s="2" t="s">
        <v>786</v>
      </c>
      <c r="S136" s="2" t="s">
        <v>533</v>
      </c>
      <c r="T136" s="2" t="s">
        <v>786</v>
      </c>
      <c r="U136" s="2"/>
      <c r="V136" s="4" t="s">
        <v>46</v>
      </c>
      <c r="W136" s="3" t="s">
        <v>785</v>
      </c>
      <c r="X136" s="2"/>
      <c r="Y136" s="4"/>
      <c r="Z136" s="4"/>
      <c r="AA136" s="14" t="s">
        <v>48</v>
      </c>
      <c r="AB136" s="14" t="s">
        <v>49</v>
      </c>
      <c r="AC136" s="14" t="s">
        <v>50</v>
      </c>
    </row>
    <row r="137" spans="1:29" ht="87" customHeight="1" x14ac:dyDescent="0.25">
      <c r="A137" s="2" t="s">
        <v>30</v>
      </c>
      <c r="B137" s="2" t="s">
        <v>31</v>
      </c>
      <c r="C137" s="2" t="s">
        <v>32</v>
      </c>
      <c r="D137" s="2" t="s">
        <v>756</v>
      </c>
      <c r="E137" s="2" t="s">
        <v>756</v>
      </c>
      <c r="F137" s="2" t="s">
        <v>757</v>
      </c>
      <c r="G137" s="2" t="s">
        <v>788</v>
      </c>
      <c r="H137" s="3" t="s">
        <v>789</v>
      </c>
      <c r="I137" s="4" t="s">
        <v>37</v>
      </c>
      <c r="J137" s="4" t="s">
        <v>760</v>
      </c>
      <c r="K137" s="4" t="s">
        <v>761</v>
      </c>
      <c r="L137" s="2" t="s">
        <v>788</v>
      </c>
      <c r="M137" s="2" t="s">
        <v>790</v>
      </c>
      <c r="N137" s="4" t="s">
        <v>61</v>
      </c>
      <c r="O137" s="4" t="s">
        <v>42</v>
      </c>
      <c r="P137" s="2" t="s">
        <v>791</v>
      </c>
      <c r="Q137" s="2" t="s">
        <v>441</v>
      </c>
      <c r="R137" s="2" t="s">
        <v>790</v>
      </c>
      <c r="S137" s="2" t="s">
        <v>533</v>
      </c>
      <c r="T137" s="2" t="s">
        <v>790</v>
      </c>
      <c r="U137" s="2"/>
      <c r="V137" s="4" t="s">
        <v>46</v>
      </c>
      <c r="W137" s="3" t="s">
        <v>789</v>
      </c>
      <c r="X137" s="2"/>
      <c r="Y137" s="4"/>
      <c r="Z137" s="4"/>
      <c r="AA137" s="14" t="s">
        <v>48</v>
      </c>
      <c r="AB137" s="14" t="s">
        <v>49</v>
      </c>
      <c r="AC137" s="14" t="s">
        <v>50</v>
      </c>
    </row>
    <row r="138" spans="1:29" ht="72" customHeight="1" x14ac:dyDescent="0.25">
      <c r="A138" s="2" t="s">
        <v>30</v>
      </c>
      <c r="B138" s="2" t="s">
        <v>792</v>
      </c>
      <c r="C138" s="2" t="s">
        <v>32</v>
      </c>
      <c r="D138" s="2" t="s">
        <v>756</v>
      </c>
      <c r="E138" s="2" t="s">
        <v>756</v>
      </c>
      <c r="F138" s="2" t="s">
        <v>757</v>
      </c>
      <c r="G138" s="2" t="s">
        <v>793</v>
      </c>
      <c r="H138" s="3" t="s">
        <v>794</v>
      </c>
      <c r="I138" s="4" t="s">
        <v>37</v>
      </c>
      <c r="J138" s="4" t="s">
        <v>760</v>
      </c>
      <c r="K138" s="4" t="s">
        <v>761</v>
      </c>
      <c r="L138" s="2" t="s">
        <v>793</v>
      </c>
      <c r="M138" s="2" t="s">
        <v>795</v>
      </c>
      <c r="N138" s="4" t="s">
        <v>61</v>
      </c>
      <c r="O138" s="4" t="s">
        <v>42</v>
      </c>
      <c r="P138" s="2" t="s">
        <v>796</v>
      </c>
      <c r="Q138" s="2" t="s">
        <v>797</v>
      </c>
      <c r="R138" s="2" t="s">
        <v>798</v>
      </c>
      <c r="S138" s="2" t="s">
        <v>799</v>
      </c>
      <c r="T138" s="2" t="s">
        <v>798</v>
      </c>
      <c r="U138" s="2"/>
      <c r="V138" s="4" t="s">
        <v>46</v>
      </c>
      <c r="W138" s="3" t="s">
        <v>794</v>
      </c>
      <c r="X138" s="2" t="s">
        <v>800</v>
      </c>
      <c r="Y138" s="4"/>
      <c r="Z138" s="4"/>
      <c r="AA138" s="14" t="s">
        <v>801</v>
      </c>
      <c r="AB138" s="14" t="s">
        <v>802</v>
      </c>
      <c r="AC138" s="14" t="s">
        <v>803</v>
      </c>
    </row>
    <row r="139" spans="1:29" ht="72" customHeight="1" x14ac:dyDescent="0.25">
      <c r="A139" s="2" t="s">
        <v>30</v>
      </c>
      <c r="B139" s="2" t="s">
        <v>792</v>
      </c>
      <c r="C139" s="2" t="s">
        <v>32</v>
      </c>
      <c r="D139" s="2" t="s">
        <v>756</v>
      </c>
      <c r="E139" s="2" t="s">
        <v>756</v>
      </c>
      <c r="F139" s="2" t="s">
        <v>757</v>
      </c>
      <c r="G139" s="2" t="s">
        <v>804</v>
      </c>
      <c r="H139" s="3" t="s">
        <v>805</v>
      </c>
      <c r="I139" s="4" t="s">
        <v>37</v>
      </c>
      <c r="J139" s="4" t="s">
        <v>760</v>
      </c>
      <c r="K139" s="4" t="s">
        <v>761</v>
      </c>
      <c r="L139" s="2" t="s">
        <v>804</v>
      </c>
      <c r="M139" s="2" t="s">
        <v>806</v>
      </c>
      <c r="N139" s="4" t="s">
        <v>54</v>
      </c>
      <c r="O139" s="4" t="s">
        <v>42</v>
      </c>
      <c r="P139" s="2" t="s">
        <v>807</v>
      </c>
      <c r="Q139" s="2" t="s">
        <v>808</v>
      </c>
      <c r="R139" s="2" t="s">
        <v>809</v>
      </c>
      <c r="S139" s="2" t="s">
        <v>810</v>
      </c>
      <c r="T139" s="2" t="s">
        <v>809</v>
      </c>
      <c r="U139" s="2"/>
      <c r="V139" s="4" t="s">
        <v>46</v>
      </c>
      <c r="W139" s="3" t="s">
        <v>805</v>
      </c>
      <c r="X139" s="2" t="s">
        <v>800</v>
      </c>
      <c r="Y139" s="4"/>
      <c r="Z139" s="4"/>
      <c r="AA139" s="14" t="s">
        <v>801</v>
      </c>
      <c r="AB139" s="14" t="s">
        <v>802</v>
      </c>
      <c r="AC139" s="14" t="s">
        <v>803</v>
      </c>
    </row>
    <row r="140" spans="1:29" ht="72" customHeight="1" x14ac:dyDescent="0.25">
      <c r="A140" s="2" t="s">
        <v>30</v>
      </c>
      <c r="B140" s="2" t="s">
        <v>792</v>
      </c>
      <c r="C140" s="2" t="s">
        <v>32</v>
      </c>
      <c r="D140" s="2" t="s">
        <v>756</v>
      </c>
      <c r="E140" s="2" t="s">
        <v>756</v>
      </c>
      <c r="F140" s="2" t="s">
        <v>757</v>
      </c>
      <c r="G140" s="2" t="s">
        <v>811</v>
      </c>
      <c r="H140" s="3" t="s">
        <v>812</v>
      </c>
      <c r="I140" s="4" t="s">
        <v>37</v>
      </c>
      <c r="J140" s="4" t="s">
        <v>760</v>
      </c>
      <c r="K140" s="4" t="s">
        <v>761</v>
      </c>
      <c r="L140" s="2" t="s">
        <v>811</v>
      </c>
      <c r="M140" s="2" t="s">
        <v>813</v>
      </c>
      <c r="N140" s="4" t="s">
        <v>54</v>
      </c>
      <c r="O140" s="4" t="s">
        <v>42</v>
      </c>
      <c r="P140" s="2" t="s">
        <v>814</v>
      </c>
      <c r="Q140" s="2" t="s">
        <v>815</v>
      </c>
      <c r="R140" s="2" t="s">
        <v>816</v>
      </c>
      <c r="S140" s="2" t="s">
        <v>817</v>
      </c>
      <c r="T140" s="2" t="s">
        <v>816</v>
      </c>
      <c r="U140" s="2"/>
      <c r="V140" s="4" t="s">
        <v>46</v>
      </c>
      <c r="W140" s="3" t="s">
        <v>812</v>
      </c>
      <c r="X140" s="2" t="s">
        <v>800</v>
      </c>
      <c r="Y140" s="4"/>
      <c r="Z140" s="4"/>
      <c r="AA140" s="14" t="s">
        <v>801</v>
      </c>
      <c r="AB140" s="14" t="s">
        <v>802</v>
      </c>
      <c r="AC140" s="14" t="s">
        <v>803</v>
      </c>
    </row>
    <row r="141" spans="1:29" ht="72" customHeight="1" x14ac:dyDescent="0.25">
      <c r="A141" s="2" t="s">
        <v>30</v>
      </c>
      <c r="B141" s="2" t="s">
        <v>792</v>
      </c>
      <c r="C141" s="2" t="s">
        <v>32</v>
      </c>
      <c r="D141" s="2" t="s">
        <v>756</v>
      </c>
      <c r="E141" s="2" t="s">
        <v>756</v>
      </c>
      <c r="F141" s="2" t="s">
        <v>757</v>
      </c>
      <c r="G141" s="2" t="s">
        <v>818</v>
      </c>
      <c r="H141" s="3" t="s">
        <v>819</v>
      </c>
      <c r="I141" s="4" t="s">
        <v>37</v>
      </c>
      <c r="J141" s="4" t="s">
        <v>760</v>
      </c>
      <c r="K141" s="4" t="s">
        <v>761</v>
      </c>
      <c r="L141" s="2" t="s">
        <v>818</v>
      </c>
      <c r="M141" s="2" t="s">
        <v>820</v>
      </c>
      <c r="N141" s="4" t="s">
        <v>54</v>
      </c>
      <c r="O141" s="4" t="s">
        <v>221</v>
      </c>
      <c r="P141" s="2" t="s">
        <v>821</v>
      </c>
      <c r="Q141" s="2" t="s">
        <v>822</v>
      </c>
      <c r="R141" s="2" t="s">
        <v>823</v>
      </c>
      <c r="S141" s="2" t="s">
        <v>824</v>
      </c>
      <c r="T141" s="2" t="s">
        <v>823</v>
      </c>
      <c r="U141" s="2"/>
      <c r="V141" s="4" t="s">
        <v>46</v>
      </c>
      <c r="W141" s="3" t="s">
        <v>819</v>
      </c>
      <c r="X141" s="2" t="s">
        <v>800</v>
      </c>
      <c r="Y141" s="4"/>
      <c r="Z141" s="4"/>
      <c r="AA141" s="14" t="s">
        <v>801</v>
      </c>
      <c r="AB141" s="14" t="s">
        <v>802</v>
      </c>
      <c r="AC141" s="14" t="s">
        <v>803</v>
      </c>
    </row>
    <row r="142" spans="1:29" ht="88.5" customHeight="1" x14ac:dyDescent="0.25">
      <c r="A142" s="2" t="s">
        <v>271</v>
      </c>
      <c r="B142" s="2" t="s">
        <v>272</v>
      </c>
      <c r="C142" s="2" t="s">
        <v>32</v>
      </c>
      <c r="D142" s="2" t="s">
        <v>825</v>
      </c>
      <c r="E142" s="2" t="s">
        <v>825</v>
      </c>
      <c r="F142" s="2" t="s">
        <v>826</v>
      </c>
      <c r="G142" s="2" t="s">
        <v>827</v>
      </c>
      <c r="H142" s="3" t="s">
        <v>828</v>
      </c>
      <c r="I142" s="4" t="s">
        <v>277</v>
      </c>
      <c r="J142" s="4" t="s">
        <v>829</v>
      </c>
      <c r="K142" s="4" t="s">
        <v>830</v>
      </c>
      <c r="L142" s="2" t="s">
        <v>827</v>
      </c>
      <c r="M142" s="2" t="s">
        <v>831</v>
      </c>
      <c r="N142" s="4" t="s">
        <v>61</v>
      </c>
      <c r="O142" s="4" t="s">
        <v>42</v>
      </c>
      <c r="P142" s="2" t="s">
        <v>832</v>
      </c>
      <c r="Q142" s="2" t="s">
        <v>833</v>
      </c>
      <c r="R142" s="2" t="s">
        <v>831</v>
      </c>
      <c r="S142" s="2" t="s">
        <v>834</v>
      </c>
      <c r="T142" s="2" t="s">
        <v>831</v>
      </c>
      <c r="U142" s="2"/>
      <c r="V142" s="4" t="s">
        <v>46</v>
      </c>
      <c r="W142" s="3" t="s">
        <v>828</v>
      </c>
      <c r="X142" s="2"/>
      <c r="Y142" s="4"/>
      <c r="Z142" s="4"/>
      <c r="AA142" s="14" t="s">
        <v>48</v>
      </c>
      <c r="AB142" s="14" t="s">
        <v>49</v>
      </c>
      <c r="AC142" s="14" t="s">
        <v>50</v>
      </c>
    </row>
    <row r="143" spans="1:29" ht="80.25" customHeight="1" x14ac:dyDescent="0.25">
      <c r="A143" s="2" t="s">
        <v>271</v>
      </c>
      <c r="B143" s="2" t="s">
        <v>272</v>
      </c>
      <c r="C143" s="2" t="s">
        <v>32</v>
      </c>
      <c r="D143" s="2" t="s">
        <v>825</v>
      </c>
      <c r="E143" s="2" t="s">
        <v>825</v>
      </c>
      <c r="F143" s="2" t="s">
        <v>826</v>
      </c>
      <c r="G143" s="2" t="s">
        <v>835</v>
      </c>
      <c r="H143" s="3" t="s">
        <v>836</v>
      </c>
      <c r="I143" s="4" t="s">
        <v>277</v>
      </c>
      <c r="J143" s="4" t="s">
        <v>829</v>
      </c>
      <c r="K143" s="4" t="s">
        <v>830</v>
      </c>
      <c r="L143" s="2" t="s">
        <v>835</v>
      </c>
      <c r="M143" s="2" t="s">
        <v>837</v>
      </c>
      <c r="N143" s="4" t="s">
        <v>61</v>
      </c>
      <c r="O143" s="4" t="s">
        <v>42</v>
      </c>
      <c r="P143" s="2" t="s">
        <v>838</v>
      </c>
      <c r="Q143" s="2" t="s">
        <v>374</v>
      </c>
      <c r="R143" s="2" t="s">
        <v>837</v>
      </c>
      <c r="S143" s="2" t="s">
        <v>834</v>
      </c>
      <c r="T143" s="2" t="s">
        <v>837</v>
      </c>
      <c r="U143" s="2"/>
      <c r="V143" s="4" t="s">
        <v>46</v>
      </c>
      <c r="W143" s="3" t="s">
        <v>836</v>
      </c>
      <c r="X143" s="2"/>
      <c r="Y143" s="4"/>
      <c r="Z143" s="4"/>
      <c r="AA143" s="14" t="s">
        <v>48</v>
      </c>
      <c r="AB143" s="14" t="s">
        <v>49</v>
      </c>
      <c r="AC143" s="14" t="s">
        <v>50</v>
      </c>
    </row>
    <row r="144" spans="1:29" ht="85.5" customHeight="1" x14ac:dyDescent="0.25">
      <c r="A144" s="2" t="s">
        <v>271</v>
      </c>
      <c r="B144" s="2" t="s">
        <v>272</v>
      </c>
      <c r="C144" s="2" t="s">
        <v>32</v>
      </c>
      <c r="D144" s="2" t="s">
        <v>825</v>
      </c>
      <c r="E144" s="2" t="s">
        <v>825</v>
      </c>
      <c r="F144" s="2" t="s">
        <v>826</v>
      </c>
      <c r="G144" s="2" t="s">
        <v>839</v>
      </c>
      <c r="H144" s="3" t="s">
        <v>840</v>
      </c>
      <c r="I144" s="4" t="s">
        <v>277</v>
      </c>
      <c r="J144" s="4" t="s">
        <v>829</v>
      </c>
      <c r="K144" s="4" t="s">
        <v>830</v>
      </c>
      <c r="L144" s="2" t="s">
        <v>839</v>
      </c>
      <c r="M144" s="2" t="s">
        <v>841</v>
      </c>
      <c r="N144" s="4" t="s">
        <v>61</v>
      </c>
      <c r="O144" s="4" t="s">
        <v>42</v>
      </c>
      <c r="P144" s="2" t="s">
        <v>842</v>
      </c>
      <c r="Q144" s="2" t="s">
        <v>353</v>
      </c>
      <c r="R144" s="2" t="s">
        <v>841</v>
      </c>
      <c r="S144" s="2" t="s">
        <v>834</v>
      </c>
      <c r="T144" s="2" t="s">
        <v>841</v>
      </c>
      <c r="U144" s="2"/>
      <c r="V144" s="4" t="s">
        <v>46</v>
      </c>
      <c r="W144" s="3" t="s">
        <v>840</v>
      </c>
      <c r="X144" s="2"/>
      <c r="Y144" s="4"/>
      <c r="Z144" s="4"/>
      <c r="AA144" s="14" t="s">
        <v>48</v>
      </c>
      <c r="AB144" s="14" t="s">
        <v>49</v>
      </c>
      <c r="AC144" s="14" t="s">
        <v>50</v>
      </c>
    </row>
    <row r="145" spans="1:29" ht="72" customHeight="1" x14ac:dyDescent="0.25">
      <c r="A145" s="2" t="s">
        <v>271</v>
      </c>
      <c r="B145" s="2" t="s">
        <v>272</v>
      </c>
      <c r="C145" s="2" t="s">
        <v>32</v>
      </c>
      <c r="D145" s="2" t="s">
        <v>825</v>
      </c>
      <c r="E145" s="2" t="s">
        <v>825</v>
      </c>
      <c r="F145" s="2" t="s">
        <v>826</v>
      </c>
      <c r="G145" s="2" t="s">
        <v>843</v>
      </c>
      <c r="H145" s="3" t="s">
        <v>844</v>
      </c>
      <c r="I145" s="4" t="s">
        <v>277</v>
      </c>
      <c r="J145" s="4" t="s">
        <v>829</v>
      </c>
      <c r="K145" s="4" t="s">
        <v>830</v>
      </c>
      <c r="L145" s="2" t="s">
        <v>843</v>
      </c>
      <c r="M145" s="2" t="s">
        <v>845</v>
      </c>
      <c r="N145" s="4" t="s">
        <v>61</v>
      </c>
      <c r="O145" s="4" t="s">
        <v>42</v>
      </c>
      <c r="P145" s="2" t="s">
        <v>846</v>
      </c>
      <c r="Q145" s="2" t="s">
        <v>353</v>
      </c>
      <c r="R145" s="2" t="s">
        <v>845</v>
      </c>
      <c r="S145" s="2" t="s">
        <v>834</v>
      </c>
      <c r="T145" s="2" t="s">
        <v>845</v>
      </c>
      <c r="U145" s="2"/>
      <c r="V145" s="4" t="s">
        <v>46</v>
      </c>
      <c r="W145" s="3" t="s">
        <v>844</v>
      </c>
      <c r="X145" s="2"/>
      <c r="Y145" s="4"/>
      <c r="Z145" s="4"/>
      <c r="AA145" s="14" t="s">
        <v>48</v>
      </c>
      <c r="AB145" s="14" t="s">
        <v>49</v>
      </c>
      <c r="AC145" s="14" t="s">
        <v>50</v>
      </c>
    </row>
    <row r="146" spans="1:29" ht="79.5" customHeight="1" x14ac:dyDescent="0.25">
      <c r="A146" s="2" t="s">
        <v>271</v>
      </c>
      <c r="B146" s="2" t="s">
        <v>272</v>
      </c>
      <c r="C146" s="2" t="s">
        <v>32</v>
      </c>
      <c r="D146" s="2" t="s">
        <v>825</v>
      </c>
      <c r="E146" s="2" t="s">
        <v>825</v>
      </c>
      <c r="F146" s="2" t="s">
        <v>826</v>
      </c>
      <c r="G146" s="2" t="s">
        <v>847</v>
      </c>
      <c r="H146" s="3" t="s">
        <v>848</v>
      </c>
      <c r="I146" s="4" t="s">
        <v>277</v>
      </c>
      <c r="J146" s="4" t="s">
        <v>829</v>
      </c>
      <c r="K146" s="4" t="s">
        <v>830</v>
      </c>
      <c r="L146" s="2" t="s">
        <v>847</v>
      </c>
      <c r="M146" s="2" t="s">
        <v>849</v>
      </c>
      <c r="N146" s="4" t="s">
        <v>61</v>
      </c>
      <c r="O146" s="4" t="s">
        <v>42</v>
      </c>
      <c r="P146" s="2" t="s">
        <v>850</v>
      </c>
      <c r="Q146" s="2" t="s">
        <v>353</v>
      </c>
      <c r="R146" s="2" t="s">
        <v>849</v>
      </c>
      <c r="S146" s="2" t="s">
        <v>834</v>
      </c>
      <c r="T146" s="2" t="s">
        <v>849</v>
      </c>
      <c r="U146" s="2"/>
      <c r="V146" s="4" t="s">
        <v>46</v>
      </c>
      <c r="W146" s="3" t="s">
        <v>848</v>
      </c>
      <c r="X146" s="2"/>
      <c r="Y146" s="4"/>
      <c r="Z146" s="4"/>
      <c r="AA146" s="14" t="s">
        <v>48</v>
      </c>
      <c r="AB146" s="14" t="s">
        <v>49</v>
      </c>
      <c r="AC146" s="14" t="s">
        <v>50</v>
      </c>
    </row>
    <row r="147" spans="1:29" ht="79.5" customHeight="1" x14ac:dyDescent="0.25">
      <c r="A147" s="2" t="s">
        <v>271</v>
      </c>
      <c r="B147" s="2" t="s">
        <v>272</v>
      </c>
      <c r="C147" s="2" t="s">
        <v>32</v>
      </c>
      <c r="D147" s="2" t="s">
        <v>825</v>
      </c>
      <c r="E147" s="2" t="s">
        <v>825</v>
      </c>
      <c r="F147" s="2" t="s">
        <v>826</v>
      </c>
      <c r="G147" s="2" t="s">
        <v>851</v>
      </c>
      <c r="H147" s="3" t="s">
        <v>852</v>
      </c>
      <c r="I147" s="4" t="s">
        <v>277</v>
      </c>
      <c r="J147" s="4" t="s">
        <v>829</v>
      </c>
      <c r="K147" s="4" t="s">
        <v>830</v>
      </c>
      <c r="L147" s="2" t="s">
        <v>851</v>
      </c>
      <c r="M147" s="2" t="s">
        <v>853</v>
      </c>
      <c r="N147" s="4" t="s">
        <v>61</v>
      </c>
      <c r="O147" s="4" t="s">
        <v>42</v>
      </c>
      <c r="P147" s="2" t="s">
        <v>854</v>
      </c>
      <c r="Q147" s="2" t="s">
        <v>374</v>
      </c>
      <c r="R147" s="2" t="s">
        <v>853</v>
      </c>
      <c r="S147" s="2" t="s">
        <v>834</v>
      </c>
      <c r="T147" s="2" t="s">
        <v>853</v>
      </c>
      <c r="U147" s="2"/>
      <c r="V147" s="4" t="s">
        <v>46</v>
      </c>
      <c r="W147" s="3" t="s">
        <v>852</v>
      </c>
      <c r="X147" s="2"/>
      <c r="Y147" s="4"/>
      <c r="Z147" s="4"/>
      <c r="AA147" s="14" t="s">
        <v>48</v>
      </c>
      <c r="AB147" s="14" t="s">
        <v>49</v>
      </c>
      <c r="AC147" s="14" t="s">
        <v>50</v>
      </c>
    </row>
    <row r="148" spans="1:29" ht="92.25" customHeight="1" x14ac:dyDescent="0.25">
      <c r="A148" s="2" t="s">
        <v>271</v>
      </c>
      <c r="B148" s="2" t="s">
        <v>272</v>
      </c>
      <c r="C148" s="2" t="s">
        <v>32</v>
      </c>
      <c r="D148" s="2" t="s">
        <v>825</v>
      </c>
      <c r="E148" s="2" t="s">
        <v>825</v>
      </c>
      <c r="F148" s="2" t="s">
        <v>826</v>
      </c>
      <c r="G148" s="2" t="s">
        <v>855</v>
      </c>
      <c r="H148" s="3" t="s">
        <v>856</v>
      </c>
      <c r="I148" s="4" t="s">
        <v>277</v>
      </c>
      <c r="J148" s="4" t="s">
        <v>829</v>
      </c>
      <c r="K148" s="4" t="s">
        <v>830</v>
      </c>
      <c r="L148" s="2" t="s">
        <v>855</v>
      </c>
      <c r="M148" s="2" t="s">
        <v>857</v>
      </c>
      <c r="N148" s="4" t="s">
        <v>61</v>
      </c>
      <c r="O148" s="4" t="s">
        <v>42</v>
      </c>
      <c r="P148" s="2" t="s">
        <v>858</v>
      </c>
      <c r="Q148" s="2" t="s">
        <v>353</v>
      </c>
      <c r="R148" s="2" t="s">
        <v>857</v>
      </c>
      <c r="S148" s="2" t="s">
        <v>834</v>
      </c>
      <c r="T148" s="2" t="s">
        <v>857</v>
      </c>
      <c r="U148" s="2"/>
      <c r="V148" s="4" t="s">
        <v>46</v>
      </c>
      <c r="W148" s="3" t="s">
        <v>856</v>
      </c>
      <c r="X148" s="2"/>
      <c r="Y148" s="4"/>
      <c r="Z148" s="4"/>
      <c r="AA148" s="14" t="s">
        <v>48</v>
      </c>
      <c r="AB148" s="14" t="s">
        <v>49</v>
      </c>
      <c r="AC148" s="14" t="s">
        <v>50</v>
      </c>
    </row>
    <row r="149" spans="1:29" ht="72" customHeight="1" x14ac:dyDescent="0.25">
      <c r="A149" s="2" t="s">
        <v>271</v>
      </c>
      <c r="B149" s="2" t="s">
        <v>272</v>
      </c>
      <c r="C149" s="2" t="s">
        <v>32</v>
      </c>
      <c r="D149" s="2" t="s">
        <v>825</v>
      </c>
      <c r="E149" s="2" t="s">
        <v>825</v>
      </c>
      <c r="F149" s="2" t="s">
        <v>826</v>
      </c>
      <c r="G149" s="2" t="s">
        <v>859</v>
      </c>
      <c r="H149" s="3" t="s">
        <v>860</v>
      </c>
      <c r="I149" s="4" t="s">
        <v>277</v>
      </c>
      <c r="J149" s="4" t="s">
        <v>829</v>
      </c>
      <c r="K149" s="4" t="s">
        <v>830</v>
      </c>
      <c r="L149" s="2" t="s">
        <v>859</v>
      </c>
      <c r="M149" s="2" t="s">
        <v>861</v>
      </c>
      <c r="N149" s="4" t="s">
        <v>54</v>
      </c>
      <c r="O149" s="4" t="s">
        <v>103</v>
      </c>
      <c r="P149" s="2" t="s">
        <v>862</v>
      </c>
      <c r="Q149" s="2" t="s">
        <v>863</v>
      </c>
      <c r="R149" s="2" t="s">
        <v>864</v>
      </c>
      <c r="S149" s="2" t="s">
        <v>865</v>
      </c>
      <c r="T149" s="2" t="s">
        <v>864</v>
      </c>
      <c r="U149" s="2"/>
      <c r="V149" s="4" t="s">
        <v>46</v>
      </c>
      <c r="W149" s="3" t="s">
        <v>860</v>
      </c>
      <c r="X149" s="2" t="s">
        <v>800</v>
      </c>
      <c r="Y149" s="4"/>
      <c r="Z149" s="4"/>
      <c r="AA149" s="14" t="s">
        <v>801</v>
      </c>
      <c r="AB149" s="14" t="s">
        <v>802</v>
      </c>
      <c r="AC149" s="14" t="s">
        <v>803</v>
      </c>
    </row>
    <row r="150" spans="1:29" ht="82.5" customHeight="1" x14ac:dyDescent="0.25">
      <c r="A150" s="2" t="s">
        <v>271</v>
      </c>
      <c r="B150" s="2" t="s">
        <v>272</v>
      </c>
      <c r="C150" s="2" t="s">
        <v>32</v>
      </c>
      <c r="D150" s="2" t="s">
        <v>866</v>
      </c>
      <c r="E150" s="2" t="s">
        <v>866</v>
      </c>
      <c r="F150" s="2" t="s">
        <v>867</v>
      </c>
      <c r="G150" s="2" t="s">
        <v>868</v>
      </c>
      <c r="H150" s="3" t="s">
        <v>869</v>
      </c>
      <c r="I150" s="4" t="s">
        <v>277</v>
      </c>
      <c r="J150" s="4" t="s">
        <v>870</v>
      </c>
      <c r="K150" s="4" t="s">
        <v>871</v>
      </c>
      <c r="L150" s="2" t="s">
        <v>868</v>
      </c>
      <c r="M150" s="2" t="s">
        <v>872</v>
      </c>
      <c r="N150" s="4" t="s">
        <v>61</v>
      </c>
      <c r="O150" s="4" t="s">
        <v>42</v>
      </c>
      <c r="P150" s="2" t="s">
        <v>873</v>
      </c>
      <c r="Q150" s="2" t="s">
        <v>833</v>
      </c>
      <c r="R150" s="2" t="s">
        <v>872</v>
      </c>
      <c r="S150" s="2" t="s">
        <v>834</v>
      </c>
      <c r="T150" s="2" t="s">
        <v>872</v>
      </c>
      <c r="U150" s="2"/>
      <c r="V150" s="4" t="s">
        <v>46</v>
      </c>
      <c r="W150" s="3" t="s">
        <v>869</v>
      </c>
      <c r="X150" s="2"/>
      <c r="Y150" s="4"/>
      <c r="Z150" s="4"/>
      <c r="AA150" s="14" t="s">
        <v>48</v>
      </c>
      <c r="AB150" s="14" t="s">
        <v>49</v>
      </c>
      <c r="AC150" s="14" t="s">
        <v>50</v>
      </c>
    </row>
    <row r="151" spans="1:29" ht="93.75" customHeight="1" x14ac:dyDescent="0.25">
      <c r="A151" s="2" t="s">
        <v>271</v>
      </c>
      <c r="B151" s="2" t="s">
        <v>272</v>
      </c>
      <c r="C151" s="2" t="s">
        <v>32</v>
      </c>
      <c r="D151" s="2" t="s">
        <v>866</v>
      </c>
      <c r="E151" s="2" t="s">
        <v>866</v>
      </c>
      <c r="F151" s="2" t="s">
        <v>867</v>
      </c>
      <c r="G151" s="2" t="s">
        <v>874</v>
      </c>
      <c r="H151" s="3" t="s">
        <v>875</v>
      </c>
      <c r="I151" s="4" t="s">
        <v>277</v>
      </c>
      <c r="J151" s="4" t="s">
        <v>870</v>
      </c>
      <c r="K151" s="4" t="s">
        <v>871</v>
      </c>
      <c r="L151" s="2" t="s">
        <v>874</v>
      </c>
      <c r="M151" s="2" t="s">
        <v>876</v>
      </c>
      <c r="N151" s="4" t="s">
        <v>61</v>
      </c>
      <c r="O151" s="4" t="s">
        <v>42</v>
      </c>
      <c r="P151" s="2" t="s">
        <v>877</v>
      </c>
      <c r="Q151" s="2" t="s">
        <v>374</v>
      </c>
      <c r="R151" s="2" t="s">
        <v>876</v>
      </c>
      <c r="S151" s="2" t="s">
        <v>834</v>
      </c>
      <c r="T151" s="2" t="s">
        <v>876</v>
      </c>
      <c r="U151" s="2"/>
      <c r="V151" s="4" t="s">
        <v>46</v>
      </c>
      <c r="W151" s="3" t="s">
        <v>875</v>
      </c>
      <c r="X151" s="2"/>
      <c r="Y151" s="4"/>
      <c r="Z151" s="4"/>
      <c r="AA151" s="14" t="s">
        <v>48</v>
      </c>
      <c r="AB151" s="14" t="s">
        <v>49</v>
      </c>
      <c r="AC151" s="14" t="s">
        <v>50</v>
      </c>
    </row>
    <row r="152" spans="1:29" ht="80.25" customHeight="1" x14ac:dyDescent="0.25">
      <c r="A152" s="2" t="s">
        <v>271</v>
      </c>
      <c r="B152" s="2" t="s">
        <v>272</v>
      </c>
      <c r="C152" s="2" t="s">
        <v>32</v>
      </c>
      <c r="D152" s="2" t="s">
        <v>866</v>
      </c>
      <c r="E152" s="2" t="s">
        <v>866</v>
      </c>
      <c r="F152" s="2" t="s">
        <v>867</v>
      </c>
      <c r="G152" s="2" t="s">
        <v>878</v>
      </c>
      <c r="H152" s="3" t="s">
        <v>879</v>
      </c>
      <c r="I152" s="4" t="s">
        <v>277</v>
      </c>
      <c r="J152" s="4" t="s">
        <v>870</v>
      </c>
      <c r="K152" s="4" t="s">
        <v>871</v>
      </c>
      <c r="L152" s="2" t="s">
        <v>878</v>
      </c>
      <c r="M152" s="2" t="s">
        <v>880</v>
      </c>
      <c r="N152" s="4" t="s">
        <v>61</v>
      </c>
      <c r="O152" s="4" t="s">
        <v>42</v>
      </c>
      <c r="P152" s="2" t="s">
        <v>881</v>
      </c>
      <c r="Q152" s="2" t="s">
        <v>374</v>
      </c>
      <c r="R152" s="2" t="s">
        <v>880</v>
      </c>
      <c r="S152" s="2" t="s">
        <v>834</v>
      </c>
      <c r="T152" s="2" t="s">
        <v>880</v>
      </c>
      <c r="U152" s="2"/>
      <c r="V152" s="4" t="s">
        <v>46</v>
      </c>
      <c r="W152" s="3" t="s">
        <v>879</v>
      </c>
      <c r="X152" s="2"/>
      <c r="Y152" s="4"/>
      <c r="Z152" s="4"/>
      <c r="AA152" s="14" t="s">
        <v>48</v>
      </c>
      <c r="AB152" s="14" t="s">
        <v>49</v>
      </c>
      <c r="AC152" s="14" t="s">
        <v>50</v>
      </c>
    </row>
    <row r="153" spans="1:29" ht="96.75" customHeight="1" x14ac:dyDescent="0.25">
      <c r="A153" s="2" t="s">
        <v>271</v>
      </c>
      <c r="B153" s="2" t="s">
        <v>272</v>
      </c>
      <c r="C153" s="2" t="s">
        <v>32</v>
      </c>
      <c r="D153" s="2" t="s">
        <v>866</v>
      </c>
      <c r="E153" s="2" t="s">
        <v>866</v>
      </c>
      <c r="F153" s="2" t="s">
        <v>867</v>
      </c>
      <c r="G153" s="2" t="s">
        <v>882</v>
      </c>
      <c r="H153" s="3" t="s">
        <v>883</v>
      </c>
      <c r="I153" s="4" t="s">
        <v>277</v>
      </c>
      <c r="J153" s="4" t="s">
        <v>870</v>
      </c>
      <c r="K153" s="4" t="s">
        <v>871</v>
      </c>
      <c r="L153" s="2" t="s">
        <v>882</v>
      </c>
      <c r="M153" s="2" t="s">
        <v>884</v>
      </c>
      <c r="N153" s="4" t="s">
        <v>61</v>
      </c>
      <c r="O153" s="4" t="s">
        <v>42</v>
      </c>
      <c r="P153" s="2" t="s">
        <v>885</v>
      </c>
      <c r="Q153" s="2" t="s">
        <v>374</v>
      </c>
      <c r="R153" s="2" t="s">
        <v>884</v>
      </c>
      <c r="S153" s="2" t="s">
        <v>834</v>
      </c>
      <c r="T153" s="2" t="s">
        <v>884</v>
      </c>
      <c r="U153" s="2"/>
      <c r="V153" s="4" t="s">
        <v>46</v>
      </c>
      <c r="W153" s="3" t="s">
        <v>883</v>
      </c>
      <c r="X153" s="2"/>
      <c r="Y153" s="4"/>
      <c r="Z153" s="4"/>
      <c r="AA153" s="14" t="s">
        <v>48</v>
      </c>
      <c r="AB153" s="14" t="s">
        <v>49</v>
      </c>
      <c r="AC153" s="14" t="s">
        <v>50</v>
      </c>
    </row>
    <row r="154" spans="1:29" ht="88.5" customHeight="1" x14ac:dyDescent="0.25">
      <c r="A154" s="2" t="s">
        <v>271</v>
      </c>
      <c r="B154" s="2" t="s">
        <v>272</v>
      </c>
      <c r="C154" s="2" t="s">
        <v>32</v>
      </c>
      <c r="D154" s="2" t="s">
        <v>866</v>
      </c>
      <c r="E154" s="2" t="s">
        <v>866</v>
      </c>
      <c r="F154" s="2" t="s">
        <v>867</v>
      </c>
      <c r="G154" s="2" t="s">
        <v>886</v>
      </c>
      <c r="H154" s="3" t="s">
        <v>887</v>
      </c>
      <c r="I154" s="4" t="s">
        <v>277</v>
      </c>
      <c r="J154" s="4" t="s">
        <v>870</v>
      </c>
      <c r="K154" s="4" t="s">
        <v>871</v>
      </c>
      <c r="L154" s="2" t="s">
        <v>886</v>
      </c>
      <c r="M154" s="2" t="s">
        <v>888</v>
      </c>
      <c r="N154" s="4" t="s">
        <v>61</v>
      </c>
      <c r="O154" s="4" t="s">
        <v>42</v>
      </c>
      <c r="P154" s="2" t="s">
        <v>889</v>
      </c>
      <c r="Q154" s="2" t="s">
        <v>353</v>
      </c>
      <c r="R154" s="2" t="s">
        <v>888</v>
      </c>
      <c r="S154" s="2" t="s">
        <v>834</v>
      </c>
      <c r="T154" s="2" t="s">
        <v>888</v>
      </c>
      <c r="U154" s="2"/>
      <c r="V154" s="4" t="s">
        <v>46</v>
      </c>
      <c r="W154" s="3" t="s">
        <v>887</v>
      </c>
      <c r="X154" s="2"/>
      <c r="Y154" s="4"/>
      <c r="Z154" s="4"/>
      <c r="AA154" s="14" t="s">
        <v>48</v>
      </c>
      <c r="AB154" s="14" t="s">
        <v>49</v>
      </c>
      <c r="AC154" s="14" t="s">
        <v>50</v>
      </c>
    </row>
    <row r="155" spans="1:29" ht="86.25" customHeight="1" x14ac:dyDescent="0.25">
      <c r="A155" s="2" t="s">
        <v>271</v>
      </c>
      <c r="B155" s="2" t="s">
        <v>272</v>
      </c>
      <c r="C155" s="2" t="s">
        <v>32</v>
      </c>
      <c r="D155" s="2" t="s">
        <v>866</v>
      </c>
      <c r="E155" s="2" t="s">
        <v>866</v>
      </c>
      <c r="F155" s="2" t="s">
        <v>867</v>
      </c>
      <c r="G155" s="2" t="s">
        <v>890</v>
      </c>
      <c r="H155" s="3" t="s">
        <v>891</v>
      </c>
      <c r="I155" s="4" t="s">
        <v>277</v>
      </c>
      <c r="J155" s="4" t="s">
        <v>870</v>
      </c>
      <c r="K155" s="4" t="s">
        <v>871</v>
      </c>
      <c r="L155" s="2" t="s">
        <v>890</v>
      </c>
      <c r="M155" s="2" t="s">
        <v>892</v>
      </c>
      <c r="N155" s="4" t="s">
        <v>61</v>
      </c>
      <c r="O155" s="4" t="s">
        <v>42</v>
      </c>
      <c r="P155" s="2" t="s">
        <v>893</v>
      </c>
      <c r="Q155" s="2" t="s">
        <v>374</v>
      </c>
      <c r="R155" s="2" t="s">
        <v>892</v>
      </c>
      <c r="S155" s="2" t="s">
        <v>834</v>
      </c>
      <c r="T155" s="2" t="s">
        <v>892</v>
      </c>
      <c r="U155" s="2"/>
      <c r="V155" s="4" t="s">
        <v>46</v>
      </c>
      <c r="W155" s="3" t="s">
        <v>891</v>
      </c>
      <c r="X155" s="2"/>
      <c r="Y155" s="4"/>
      <c r="Z155" s="4"/>
      <c r="AA155" s="14" t="s">
        <v>48</v>
      </c>
      <c r="AB155" s="14" t="s">
        <v>49</v>
      </c>
      <c r="AC155" s="14" t="s">
        <v>50</v>
      </c>
    </row>
    <row r="156" spans="1:29" ht="101.25" customHeight="1" x14ac:dyDescent="0.25">
      <c r="A156" s="2" t="s">
        <v>271</v>
      </c>
      <c r="B156" s="2" t="s">
        <v>272</v>
      </c>
      <c r="C156" s="2" t="s">
        <v>32</v>
      </c>
      <c r="D156" s="2" t="s">
        <v>866</v>
      </c>
      <c r="E156" s="2" t="s">
        <v>866</v>
      </c>
      <c r="F156" s="2" t="s">
        <v>867</v>
      </c>
      <c r="G156" s="2" t="s">
        <v>894</v>
      </c>
      <c r="H156" s="3" t="s">
        <v>895</v>
      </c>
      <c r="I156" s="4" t="s">
        <v>277</v>
      </c>
      <c r="J156" s="4" t="s">
        <v>870</v>
      </c>
      <c r="K156" s="4" t="s">
        <v>871</v>
      </c>
      <c r="L156" s="2" t="s">
        <v>894</v>
      </c>
      <c r="M156" s="2" t="s">
        <v>896</v>
      </c>
      <c r="N156" s="4" t="s">
        <v>61</v>
      </c>
      <c r="O156" s="4" t="s">
        <v>42</v>
      </c>
      <c r="P156" s="2" t="s">
        <v>897</v>
      </c>
      <c r="Q156" s="2" t="s">
        <v>374</v>
      </c>
      <c r="R156" s="2" t="s">
        <v>896</v>
      </c>
      <c r="S156" s="2" t="s">
        <v>834</v>
      </c>
      <c r="T156" s="2" t="s">
        <v>896</v>
      </c>
      <c r="U156" s="2"/>
      <c r="V156" s="4" t="s">
        <v>46</v>
      </c>
      <c r="W156" s="3" t="s">
        <v>895</v>
      </c>
      <c r="X156" s="2"/>
      <c r="Y156" s="4"/>
      <c r="Z156" s="4"/>
      <c r="AA156" s="14" t="s">
        <v>48</v>
      </c>
      <c r="AB156" s="14" t="s">
        <v>49</v>
      </c>
      <c r="AC156" s="14" t="s">
        <v>50</v>
      </c>
    </row>
    <row r="157" spans="1:29" ht="83.25" customHeight="1" x14ac:dyDescent="0.25">
      <c r="A157" s="2" t="s">
        <v>271</v>
      </c>
      <c r="B157" s="2" t="s">
        <v>272</v>
      </c>
      <c r="C157" s="2" t="s">
        <v>32</v>
      </c>
      <c r="D157" s="2" t="s">
        <v>866</v>
      </c>
      <c r="E157" s="2" t="s">
        <v>866</v>
      </c>
      <c r="F157" s="2" t="s">
        <v>867</v>
      </c>
      <c r="G157" s="2" t="s">
        <v>898</v>
      </c>
      <c r="H157" s="3" t="s">
        <v>899</v>
      </c>
      <c r="I157" s="4" t="s">
        <v>277</v>
      </c>
      <c r="J157" s="4" t="s">
        <v>870</v>
      </c>
      <c r="K157" s="4" t="s">
        <v>871</v>
      </c>
      <c r="L157" s="2" t="s">
        <v>898</v>
      </c>
      <c r="M157" s="2" t="s">
        <v>900</v>
      </c>
      <c r="N157" s="4" t="s">
        <v>61</v>
      </c>
      <c r="O157" s="4" t="s">
        <v>42</v>
      </c>
      <c r="P157" s="2" t="s">
        <v>901</v>
      </c>
      <c r="Q157" s="2" t="s">
        <v>833</v>
      </c>
      <c r="R157" s="2" t="s">
        <v>900</v>
      </c>
      <c r="S157" s="2" t="s">
        <v>834</v>
      </c>
      <c r="T157" s="2" t="s">
        <v>900</v>
      </c>
      <c r="U157" s="2"/>
      <c r="V157" s="4" t="s">
        <v>46</v>
      </c>
      <c r="W157" s="3" t="s">
        <v>899</v>
      </c>
      <c r="X157" s="2"/>
      <c r="Y157" s="4"/>
      <c r="Z157" s="4"/>
      <c r="AA157" s="14" t="s">
        <v>48</v>
      </c>
      <c r="AB157" s="14" t="s">
        <v>49</v>
      </c>
      <c r="AC157" s="14" t="s">
        <v>50</v>
      </c>
    </row>
    <row r="158" spans="1:29" ht="72" customHeight="1" x14ac:dyDescent="0.25">
      <c r="A158" s="2" t="s">
        <v>271</v>
      </c>
      <c r="B158" s="2" t="s">
        <v>272</v>
      </c>
      <c r="C158" s="2" t="s">
        <v>32</v>
      </c>
      <c r="D158" s="2" t="s">
        <v>866</v>
      </c>
      <c r="E158" s="2" t="s">
        <v>866</v>
      </c>
      <c r="F158" s="2" t="s">
        <v>867</v>
      </c>
      <c r="G158" s="2" t="s">
        <v>902</v>
      </c>
      <c r="H158" s="3" t="s">
        <v>903</v>
      </c>
      <c r="I158" s="4" t="s">
        <v>277</v>
      </c>
      <c r="J158" s="4" t="s">
        <v>870</v>
      </c>
      <c r="K158" s="4" t="s">
        <v>871</v>
      </c>
      <c r="L158" s="2" t="s">
        <v>902</v>
      </c>
      <c r="M158" s="2" t="s">
        <v>904</v>
      </c>
      <c r="N158" s="4" t="s">
        <v>54</v>
      </c>
      <c r="O158" s="4" t="s">
        <v>103</v>
      </c>
      <c r="P158" s="2" t="s">
        <v>905</v>
      </c>
      <c r="Q158" s="2" t="s">
        <v>906</v>
      </c>
      <c r="R158" s="2" t="s">
        <v>907</v>
      </c>
      <c r="S158" s="2" t="s">
        <v>908</v>
      </c>
      <c r="T158" s="2" t="s">
        <v>909</v>
      </c>
      <c r="U158" s="2"/>
      <c r="V158" s="4" t="s">
        <v>46</v>
      </c>
      <c r="W158" s="3" t="s">
        <v>903</v>
      </c>
      <c r="X158" s="2" t="s">
        <v>800</v>
      </c>
      <c r="Y158" s="4"/>
      <c r="Z158" s="4"/>
      <c r="AA158" s="14" t="s">
        <v>801</v>
      </c>
      <c r="AB158" s="14" t="s">
        <v>802</v>
      </c>
      <c r="AC158" s="14" t="s">
        <v>803</v>
      </c>
    </row>
    <row r="159" spans="1:29" ht="281.25" customHeight="1" x14ac:dyDescent="0.25">
      <c r="A159" s="2" t="s">
        <v>312</v>
      </c>
      <c r="B159" s="2" t="s">
        <v>910</v>
      </c>
      <c r="C159" s="2" t="s">
        <v>32</v>
      </c>
      <c r="D159" s="2" t="s">
        <v>911</v>
      </c>
      <c r="E159" s="2" t="s">
        <v>912</v>
      </c>
      <c r="F159" s="2" t="s">
        <v>911</v>
      </c>
      <c r="G159" s="2" t="s">
        <v>913</v>
      </c>
      <c r="H159" s="3" t="s">
        <v>914</v>
      </c>
      <c r="I159" s="4"/>
      <c r="J159" s="4" t="s">
        <v>915</v>
      </c>
      <c r="K159" s="4" t="s">
        <v>916</v>
      </c>
      <c r="L159" s="2" t="s">
        <v>913</v>
      </c>
      <c r="M159" s="2" t="s">
        <v>917</v>
      </c>
      <c r="N159" s="4" t="s">
        <v>41</v>
      </c>
      <c r="O159" s="4" t="s">
        <v>172</v>
      </c>
      <c r="P159" s="2" t="s">
        <v>918</v>
      </c>
      <c r="Q159" s="2" t="s">
        <v>374</v>
      </c>
      <c r="R159" s="2" t="s">
        <v>917</v>
      </c>
      <c r="S159" s="2" t="s">
        <v>919</v>
      </c>
      <c r="T159" s="2" t="s">
        <v>917</v>
      </c>
      <c r="U159" s="2"/>
      <c r="V159" s="4" t="s">
        <v>46</v>
      </c>
      <c r="W159" s="3" t="s">
        <v>914</v>
      </c>
      <c r="X159" s="2"/>
      <c r="Y159" s="4"/>
      <c r="Z159" s="4"/>
      <c r="AA159" s="14" t="s">
        <v>48</v>
      </c>
      <c r="AB159" s="14" t="s">
        <v>49</v>
      </c>
      <c r="AC159" s="14" t="s">
        <v>50</v>
      </c>
    </row>
  </sheetData>
  <autoFilter ref="A2:AC159" xr:uid="{00000000-0009-0000-0000-000000000000}"/>
  <mergeCells count="1">
    <mergeCell ref="A1:AC1"/>
  </mergeCells>
  <conditionalFormatting sqref="V3:V198">
    <cfRule type="expression" dxfId="3" priority="2">
      <formula>EXACT($V3,"PASS")</formula>
    </cfRule>
    <cfRule type="expression" dxfId="2" priority="3">
      <formula>EXACT($V3,"FAIL")</formula>
    </cfRule>
    <cfRule type="expression" dxfId="1" priority="4">
      <formula>EXACT($V3,"BLOCKED")</formula>
    </cfRule>
    <cfRule type="expression" dxfId="0" priority="5">
      <formula>EXACT($V3,"NOT RUN")</formula>
    </cfRule>
  </conditionalFormatting>
  <pageMargins left="0.75" right="0.75" top="1" bottom="1"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4">
        <x14:dataValidation type="list" allowBlank="1" xr:uid="{00000000-0002-0000-0000-000000000000}">
          <x14:formula1>
            <xm:f>LISTAS!$C$2:$C$5</xm:f>
          </x14:formula1>
          <xm:sqref>V3:V159</xm:sqref>
        </x14:dataValidation>
        <x14:dataValidation type="list" allowBlank="1" xr:uid="{00000000-0002-0000-0000-000001000000}">
          <x14:formula1>
            <xm:f>LISTAS!$A$2:$A$5</xm:f>
          </x14:formula1>
          <xm:sqref>N3:N159</xm:sqref>
        </x14:dataValidation>
        <x14:dataValidation type="list" allowBlank="1" xr:uid="{00000000-0002-0000-0000-000002000000}">
          <x14:formula1>
            <xm:f>LISTAS!$B$2:$B$8</xm:f>
          </x14:formula1>
          <xm:sqref>O3:O159</xm:sqref>
        </x14:dataValidation>
        <x14:dataValidation type="list" allowBlank="1" xr:uid="{00000000-0002-0000-0000-000003000000}">
          <x14:formula1>
            <xm:f>LISTAS!$D$2:$D$5</xm:f>
          </x14:formula1>
          <xm:sqref>Z3:Z159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
  <sheetViews>
    <sheetView zoomScaleNormal="100" workbookViewId="0">
      <selection activeCell="G4" sqref="G4"/>
    </sheetView>
  </sheetViews>
  <sheetFormatPr baseColWidth="10" defaultColWidth="8.7109375" defaultRowHeight="15" x14ac:dyDescent="0.25"/>
  <cols>
    <col min="1" max="1" width="18" customWidth="1"/>
    <col min="2" max="2" width="20" customWidth="1"/>
    <col min="3" max="3" width="16" customWidth="1"/>
    <col min="4" max="4" width="18" customWidth="1"/>
    <col min="5" max="5" width="20" customWidth="1"/>
    <col min="7" max="7" width="28" customWidth="1"/>
  </cols>
  <sheetData>
    <row r="1" spans="1:7" x14ac:dyDescent="0.25">
      <c r="A1" s="5" t="s">
        <v>920</v>
      </c>
      <c r="B1" s="5" t="s">
        <v>921</v>
      </c>
      <c r="C1" s="5" t="s">
        <v>922</v>
      </c>
      <c r="D1" s="5" t="s">
        <v>923</v>
      </c>
      <c r="E1" s="5" t="s">
        <v>3</v>
      </c>
      <c r="G1" t="s">
        <v>924</v>
      </c>
    </row>
    <row r="2" spans="1:7" x14ac:dyDescent="0.25">
      <c r="A2" s="6" t="s">
        <v>41</v>
      </c>
      <c r="B2" s="6" t="s">
        <v>42</v>
      </c>
      <c r="C2" s="6" t="s">
        <v>46</v>
      </c>
      <c r="D2" s="6" t="s">
        <v>41</v>
      </c>
      <c r="E2" s="6" t="s">
        <v>32</v>
      </c>
      <c r="G2" t="s">
        <v>48</v>
      </c>
    </row>
    <row r="3" spans="1:7" x14ac:dyDescent="0.25">
      <c r="A3" s="6" t="s">
        <v>54</v>
      </c>
      <c r="B3" s="6" t="s">
        <v>55</v>
      </c>
      <c r="C3" s="6" t="s">
        <v>925</v>
      </c>
      <c r="D3" s="6" t="s">
        <v>54</v>
      </c>
      <c r="E3" s="6" t="s">
        <v>926</v>
      </c>
      <c r="G3" t="s">
        <v>801</v>
      </c>
    </row>
    <row r="4" spans="1:7" x14ac:dyDescent="0.25">
      <c r="A4" s="6" t="s">
        <v>61</v>
      </c>
      <c r="B4" s="6" t="s">
        <v>221</v>
      </c>
      <c r="C4" s="6" t="s">
        <v>927</v>
      </c>
      <c r="D4" s="6" t="s">
        <v>61</v>
      </c>
    </row>
    <row r="5" spans="1:7" x14ac:dyDescent="0.25">
      <c r="A5" s="6" t="s">
        <v>928</v>
      </c>
      <c r="B5" s="6" t="s">
        <v>103</v>
      </c>
      <c r="C5" s="6" t="s">
        <v>929</v>
      </c>
      <c r="D5" s="6" t="s">
        <v>928</v>
      </c>
    </row>
    <row r="6" spans="1:7" x14ac:dyDescent="0.25">
      <c r="B6" s="6" t="s">
        <v>172</v>
      </c>
    </row>
    <row r="7" spans="1:7" x14ac:dyDescent="0.25">
      <c r="B7" s="6" t="s">
        <v>930</v>
      </c>
    </row>
    <row r="8" spans="1:7" x14ac:dyDescent="0.25">
      <c r="B8" s="6" t="s">
        <v>931</v>
      </c>
    </row>
    <row r="11" spans="1:7" ht="15" customHeight="1" x14ac:dyDescent="0.25">
      <c r="A11" s="20" t="s">
        <v>932</v>
      </c>
      <c r="B11" s="21"/>
      <c r="C11" s="21"/>
      <c r="D11" s="21"/>
      <c r="E11" s="21"/>
    </row>
    <row r="12" spans="1:7" x14ac:dyDescent="0.25">
      <c r="A12" s="21"/>
      <c r="B12" s="21"/>
      <c r="C12" s="21"/>
      <c r="D12" s="21"/>
      <c r="E12" s="21"/>
    </row>
    <row r="13" spans="1:7" x14ac:dyDescent="0.25">
      <c r="A13" s="21"/>
      <c r="B13" s="21"/>
      <c r="C13" s="21"/>
      <c r="D13" s="21"/>
      <c r="E13" s="21"/>
    </row>
    <row r="14" spans="1:7" x14ac:dyDescent="0.25">
      <c r="A14" s="21"/>
      <c r="B14" s="21"/>
      <c r="C14" s="21"/>
      <c r="D14" s="21"/>
      <c r="E14" s="21"/>
    </row>
  </sheetData>
  <mergeCells count="1">
    <mergeCell ref="A11:E1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7"/>
  <sheetViews>
    <sheetView zoomScaleNormal="100" workbookViewId="0">
      <pane ySplit="3" topLeftCell="A46" activePane="bottomLeft" state="frozen"/>
      <selection pane="bottomLeft" activeCell="C58" sqref="C58"/>
    </sheetView>
  </sheetViews>
  <sheetFormatPr baseColWidth="10" defaultColWidth="8.7109375" defaultRowHeight="15" x14ac:dyDescent="0.25"/>
  <cols>
    <col min="1" max="1" width="48" customWidth="1"/>
    <col min="2" max="6" width="12" customWidth="1"/>
  </cols>
  <sheetData>
    <row r="1" spans="1:6" ht="18.75" x14ac:dyDescent="0.3">
      <c r="A1" s="18" t="s">
        <v>933</v>
      </c>
      <c r="B1" s="7"/>
      <c r="C1" s="7"/>
      <c r="D1" s="7"/>
      <c r="E1" s="7"/>
      <c r="F1" s="7"/>
    </row>
    <row r="3" spans="1:6" x14ac:dyDescent="0.25">
      <c r="A3" s="13" t="s">
        <v>934</v>
      </c>
      <c r="B3" s="13" t="s">
        <v>935</v>
      </c>
      <c r="C3" s="13" t="s">
        <v>46</v>
      </c>
      <c r="D3" s="13" t="s">
        <v>925</v>
      </c>
      <c r="E3" s="13" t="s">
        <v>927</v>
      </c>
      <c r="F3" s="13" t="s">
        <v>929</v>
      </c>
    </row>
    <row r="4" spans="1:6" x14ac:dyDescent="0.25">
      <c r="A4" s="6" t="s">
        <v>936</v>
      </c>
      <c r="B4" s="8">
        <f>COUNTIF('TEST-CASE'!$K$3:$K$159,"HU-1.1")</f>
        <v>18</v>
      </c>
      <c r="C4" s="8">
        <f>COUNTIFS('TEST-CASE'!$K$3:$K$159,"HU-1.1",'TEST-CASE'!$V$3:$V$159,"NOT RUN")</f>
        <v>0</v>
      </c>
      <c r="D4" s="8">
        <f>COUNTIFS('TEST-CASE'!$K$3:$K$159,"HU-1.1",'TEST-CASE'!$V$3:$V$159,"PASS")</f>
        <v>17</v>
      </c>
      <c r="E4" s="8">
        <f>COUNTIFS('TEST-CASE'!$K$3:$K$159,"HU-1.1",'TEST-CASE'!$V$3:$V$159,"FAIL")</f>
        <v>1</v>
      </c>
      <c r="F4" s="8">
        <f>COUNTIFS('TEST-CASE'!$K$3:$K$159,"HU-1.1",'TEST-CASE'!$V$3:$V$159,"BLOCKED")</f>
        <v>0</v>
      </c>
    </row>
    <row r="5" spans="1:6" x14ac:dyDescent="0.25">
      <c r="A5" s="6" t="s">
        <v>937</v>
      </c>
      <c r="B5" s="8">
        <f>COUNTIF('TEST-CASE'!$K$3:$K$159,"HU-5.1")</f>
        <v>6</v>
      </c>
      <c r="C5" s="8">
        <f>COUNTIFS('TEST-CASE'!$K$3:$K$159,"HU-5.1",'TEST-CASE'!$V$3:$V$159,"NOT RUN")</f>
        <v>0</v>
      </c>
      <c r="D5" s="8">
        <f>COUNTIFS('TEST-CASE'!$K$3:$K$159,"HU-5.1",'TEST-CASE'!$V$3:$V$159,"PASS")</f>
        <v>5</v>
      </c>
      <c r="E5" s="8">
        <f>COUNTIFS('TEST-CASE'!$K$3:$K$159,"HU-5.1",'TEST-CASE'!$V$3:$V$159,"FAIL")</f>
        <v>1</v>
      </c>
      <c r="F5" s="8">
        <f>COUNTIFS('TEST-CASE'!$K$3:$K$159,"HU-5.1",'TEST-CASE'!$V$3:$V$159,"BLOCKED")</f>
        <v>0</v>
      </c>
    </row>
    <row r="6" spans="1:6" x14ac:dyDescent="0.25">
      <c r="A6" s="6" t="s">
        <v>938</v>
      </c>
      <c r="B6" s="8">
        <f>COUNTIF('TEST-CASE'!$K$3:$K$159,"HU-2.1")</f>
        <v>8</v>
      </c>
      <c r="C6" s="8">
        <f>COUNTIFS('TEST-CASE'!$K$3:$K$159,"HU-2.1",'TEST-CASE'!$V$3:$V$159,"NOT RUN")</f>
        <v>0</v>
      </c>
      <c r="D6" s="8">
        <f>COUNTIFS('TEST-CASE'!$K$3:$K$159,"HU-2.1",'TEST-CASE'!$V$3:$V$159,"PASS")</f>
        <v>8</v>
      </c>
      <c r="E6" s="8">
        <f>COUNTIFS('TEST-CASE'!$K$3:$K$159,"HU-2.1",'TEST-CASE'!$V$3:$V$159,"FAIL")</f>
        <v>0</v>
      </c>
      <c r="F6" s="8">
        <f>COUNTIFS('TEST-CASE'!$K$3:$K$159,"HU-2.1",'TEST-CASE'!$V$3:$V$159,"BLOCKED")</f>
        <v>0</v>
      </c>
    </row>
    <row r="7" spans="1:6" x14ac:dyDescent="0.25">
      <c r="A7" s="6" t="s">
        <v>939</v>
      </c>
      <c r="B7" s="8">
        <f>COUNTIF('TEST-CASE'!$K$3:$K$159,"HU-1.3")</f>
        <v>14</v>
      </c>
      <c r="C7" s="8">
        <f>COUNTIFS('TEST-CASE'!$K$3:$K$159,"HU-1.3",'TEST-CASE'!$V$3:$V$159,"NOT RUN")</f>
        <v>0</v>
      </c>
      <c r="D7" s="8">
        <f>COUNTIFS('TEST-CASE'!$K$3:$K$159,"HU-1.3",'TEST-CASE'!$V$3:$V$159,"PASS")</f>
        <v>14</v>
      </c>
      <c r="E7" s="8">
        <f>COUNTIFS('TEST-CASE'!$K$3:$K$159,"HU-1.3",'TEST-CASE'!$V$3:$V$159,"FAIL")</f>
        <v>0</v>
      </c>
      <c r="F7" s="8">
        <f>COUNTIFS('TEST-CASE'!$K$3:$K$159,"HU-1.3",'TEST-CASE'!$V$3:$V$159,"BLOCKED")</f>
        <v>0</v>
      </c>
    </row>
    <row r="8" spans="1:6" x14ac:dyDescent="0.25">
      <c r="A8" s="6" t="s">
        <v>940</v>
      </c>
      <c r="B8" s="8">
        <f>COUNTIF('TEST-CASE'!$K$3:$K$159,"HU-3.1")</f>
        <v>10</v>
      </c>
      <c r="C8" s="8">
        <f>COUNTIFS('TEST-CASE'!$K$3:$K$159,"HU-3.1",'TEST-CASE'!$V$3:$V$159,"NOT RUN")</f>
        <v>0</v>
      </c>
      <c r="D8" s="8">
        <f>COUNTIFS('TEST-CASE'!$K$3:$K$159,"HU-3.1",'TEST-CASE'!$V$3:$V$159,"PASS")</f>
        <v>10</v>
      </c>
      <c r="E8" s="8">
        <f>COUNTIFS('TEST-CASE'!$K$3:$K$159,"HU-3.1",'TEST-CASE'!$V$3:$V$159,"FAIL")</f>
        <v>0</v>
      </c>
      <c r="F8" s="8">
        <f>COUNTIFS('TEST-CASE'!$K$3:$K$159,"HU-3.1",'TEST-CASE'!$V$3:$V$159,"BLOCKED")</f>
        <v>0</v>
      </c>
    </row>
    <row r="9" spans="1:6" x14ac:dyDescent="0.25">
      <c r="A9" s="6" t="s">
        <v>941</v>
      </c>
      <c r="B9" s="8">
        <f>COUNTIF('TEST-CASE'!$K$3:$K$159,"HU-3.2")</f>
        <v>5</v>
      </c>
      <c r="C9" s="8">
        <f>COUNTIFS('TEST-CASE'!$K$3:$K$159,"HU-3.2",'TEST-CASE'!$V$3:$V$159,"NOT RUN")</f>
        <v>0</v>
      </c>
      <c r="D9" s="8">
        <f>COUNTIFS('TEST-CASE'!$K$3:$K$159,"HU-3.2",'TEST-CASE'!$V$3:$V$159,"PASS")</f>
        <v>5</v>
      </c>
      <c r="E9" s="8">
        <f>COUNTIFS('TEST-CASE'!$K$3:$K$159,"HU-3.2",'TEST-CASE'!$V$3:$V$159,"FAIL")</f>
        <v>0</v>
      </c>
      <c r="F9" s="8">
        <f>COUNTIFS('TEST-CASE'!$K$3:$K$159,"HU-3.2",'TEST-CASE'!$V$3:$V$159,"BLOCKED")</f>
        <v>0</v>
      </c>
    </row>
    <row r="10" spans="1:6" x14ac:dyDescent="0.25">
      <c r="A10" s="9" t="s">
        <v>942</v>
      </c>
      <c r="B10" s="10">
        <f>COUNTIF('TEST-CASE'!$K$3:$K$159,"HU-3.3")</f>
        <v>5</v>
      </c>
      <c r="C10" s="10">
        <f>COUNTIFS('TEST-CASE'!$K$3:$K$159,"HU-3.3",'TEST-CASE'!$V$3:$V$159,"NOT RUN")</f>
        <v>0</v>
      </c>
      <c r="D10" s="10">
        <f>COUNTIFS('TEST-CASE'!$K$3:$K$159,"HU-3.3",'TEST-CASE'!$V$3:$V$159,"PASS")</f>
        <v>5</v>
      </c>
      <c r="E10" s="10">
        <f>COUNTIFS('TEST-CASE'!$K$3:$K$159,"HU-3.3",'TEST-CASE'!$V$3:$V$159,"FAIL")</f>
        <v>0</v>
      </c>
      <c r="F10" s="10">
        <f>COUNTIFS('TEST-CASE'!$K$3:$K$159,"HU-3.3",'TEST-CASE'!$V$3:$V$159,"BLOCKED")</f>
        <v>0</v>
      </c>
    </row>
    <row r="11" spans="1:6" x14ac:dyDescent="0.25">
      <c r="A11" t="s">
        <v>943</v>
      </c>
      <c r="B11">
        <f>COUNTIF('TEST-CASE'!$K$3:$K$159,"HU-3.4")</f>
        <v>5</v>
      </c>
      <c r="C11">
        <f>COUNTIFS('TEST-CASE'!$K$3:$K$159,"HU-3.4",'TEST-CASE'!$V$3:$V$159,"NOT RUN")</f>
        <v>0</v>
      </c>
      <c r="D11">
        <f>COUNTIFS('TEST-CASE'!$K$3:$K$159,"HU-3.4",'TEST-CASE'!$V$3:$V$159,"PASS")</f>
        <v>5</v>
      </c>
      <c r="E11">
        <f>COUNTIFS('TEST-CASE'!$K$3:$K$159,"HU-3.4",'TEST-CASE'!$V$3:$V$159,"FAIL")</f>
        <v>0</v>
      </c>
      <c r="F11">
        <f>COUNTIFS('TEST-CASE'!$K$3:$K$159,"HU-3.4",'TEST-CASE'!$V$3:$V$159,"BLOCKED")</f>
        <v>0</v>
      </c>
    </row>
    <row r="12" spans="1:6" x14ac:dyDescent="0.25">
      <c r="A12" s="5" t="s">
        <v>944</v>
      </c>
      <c r="B12" s="5">
        <f>COUNTIF('TEST-CASE'!$K$3:$K$159,"HU-2.2")</f>
        <v>6</v>
      </c>
      <c r="C12">
        <f>COUNTIFS('TEST-CASE'!$K$3:$K$159,"HU-2.2",'TEST-CASE'!$V$3:$V$159,"NOT RUN")</f>
        <v>0</v>
      </c>
      <c r="D12">
        <f>COUNTIFS('TEST-CASE'!$K$3:$K$159,"HU-2.2",'TEST-CASE'!$V$3:$V$159,"PASS")</f>
        <v>6</v>
      </c>
      <c r="E12">
        <f>COUNTIFS('TEST-CASE'!$K$3:$K$159,"HU-2.2",'TEST-CASE'!$V$3:$V$159,"FAIL")</f>
        <v>0</v>
      </c>
      <c r="F12">
        <f>COUNTIFS('TEST-CASE'!$K$3:$K$159,"HU-2.2",'TEST-CASE'!$V$3:$V$159,"BLOCKED")</f>
        <v>0</v>
      </c>
    </row>
    <row r="13" spans="1:6" x14ac:dyDescent="0.25">
      <c r="A13" s="6" t="s">
        <v>945</v>
      </c>
      <c r="B13" s="11">
        <f>COUNTIF('TEST-CASE'!$K$3:$K$159,"HU-4.1")</f>
        <v>5</v>
      </c>
      <c r="C13">
        <f>COUNTIFS('TEST-CASE'!$K$3:$K$159,"HU-4.1",'TEST-CASE'!$V$3:$V$159,"NOT RUN")</f>
        <v>5</v>
      </c>
      <c r="D13">
        <f>COUNTIFS('TEST-CASE'!$K$3:$K$159,"HU-4.1",'TEST-CASE'!$V$3:$V$159,"PASS")</f>
        <v>0</v>
      </c>
      <c r="E13">
        <f>COUNTIFS('TEST-CASE'!$K$3:$K$159,"HU-4.1",'TEST-CASE'!$V$3:$V$159,"FAIL")</f>
        <v>0</v>
      </c>
      <c r="F13">
        <f>COUNTIFS('TEST-CASE'!$K$3:$K$159,"HU-4.1",'TEST-CASE'!$V$3:$V$159,"BLOCKED")</f>
        <v>0</v>
      </c>
    </row>
    <row r="14" spans="1:6" x14ac:dyDescent="0.25">
      <c r="A14" s="6" t="s">
        <v>946</v>
      </c>
      <c r="B14" s="11">
        <f>COUNTIF('TEST-CASE'!$K$3:$K$159,"HU-4.2")</f>
        <v>9</v>
      </c>
      <c r="C14">
        <f>COUNTIFS('TEST-CASE'!$K$3:$K$159,"HU-4.2",'TEST-CASE'!$V$3:$V$159,"NOT RUN")</f>
        <v>9</v>
      </c>
      <c r="D14">
        <f>COUNTIFS('TEST-CASE'!$K$3:$K$159,"HU-4.2",'TEST-CASE'!$V$3:$V$159,"PASS")</f>
        <v>0</v>
      </c>
      <c r="E14">
        <f>COUNTIFS('TEST-CASE'!$K$3:$K$159,"HU-4.2",'TEST-CASE'!$V$3:$V$159,"FAIL")</f>
        <v>0</v>
      </c>
      <c r="F14">
        <f>COUNTIFS('TEST-CASE'!$K$3:$K$159,"HU-4.2",'TEST-CASE'!$V$3:$V$159,"BLOCKED")</f>
        <v>0</v>
      </c>
    </row>
    <row r="15" spans="1:6" x14ac:dyDescent="0.25">
      <c r="A15" s="6" t="s">
        <v>947</v>
      </c>
      <c r="B15" s="11">
        <f>COUNTIF('TEST-CASE'!$K$3:$K$159,"HU-4.3")</f>
        <v>5</v>
      </c>
      <c r="C15">
        <f>COUNTIFS('TEST-CASE'!$K$3:$K$159,"HU-4.3",'TEST-CASE'!$V$3:$V$159,"NOT RUN")</f>
        <v>5</v>
      </c>
      <c r="D15">
        <f>COUNTIFS('TEST-CASE'!$K$3:$K$159,"HU-4.3",'TEST-CASE'!$V$3:$V$159,"PASS")</f>
        <v>0</v>
      </c>
      <c r="E15">
        <f>COUNTIFS('TEST-CASE'!$K$3:$K$159,"HU-4.3",'TEST-CASE'!$V$3:$V$159,"FAIL")</f>
        <v>0</v>
      </c>
      <c r="F15">
        <f>COUNTIFS('TEST-CASE'!$K$3:$K$159,"HU-4.3",'TEST-CASE'!$V$3:$V$159,"BLOCKED")</f>
        <v>0</v>
      </c>
    </row>
    <row r="16" spans="1:6" x14ac:dyDescent="0.25">
      <c r="A16" s="6" t="s">
        <v>948</v>
      </c>
      <c r="B16" s="11">
        <f>COUNTIF('TEST-CASE'!$K$3:$K$159,"HU-2.3")</f>
        <v>8</v>
      </c>
      <c r="C16">
        <f>COUNTIFS('TEST-CASE'!$K$3:$K$159,"HU-2.3",'TEST-CASE'!$V$3:$V$159,"NOT RUN")</f>
        <v>8</v>
      </c>
      <c r="D16">
        <f>COUNTIFS('TEST-CASE'!$K$3:$K$159,"HU-2.3",'TEST-CASE'!$V$3:$V$159,"PASS")</f>
        <v>0</v>
      </c>
      <c r="E16">
        <f>COUNTIFS('TEST-CASE'!$K$3:$K$159,"HU-2.3",'TEST-CASE'!$V$3:$V$159,"FAIL")</f>
        <v>0</v>
      </c>
      <c r="F16">
        <f>COUNTIFS('TEST-CASE'!$K$3:$K$159,"HU-2.3",'TEST-CASE'!$V$3:$V$159,"BLOCKED")</f>
        <v>0</v>
      </c>
    </row>
    <row r="17" spans="1:6" x14ac:dyDescent="0.25">
      <c r="A17" t="s">
        <v>949</v>
      </c>
      <c r="B17">
        <f>COUNTIF('TEST-CASE'!$K$3:$K$159,"HU-1.4")</f>
        <v>7</v>
      </c>
      <c r="C17">
        <f>COUNTIFS('TEST-CASE'!$K$3:$K$159,"HU-1.4",'TEST-CASE'!$V$3:$V$159,"NOT RUN")</f>
        <v>7</v>
      </c>
      <c r="D17">
        <f>COUNTIFS('TEST-CASE'!$K$3:$K$159,"HU-1.4",'TEST-CASE'!$V$3:$V$159,"PASS")</f>
        <v>0</v>
      </c>
      <c r="E17">
        <f>COUNTIFS('TEST-CASE'!$K$3:$K$159,"HU-1.4",'TEST-CASE'!$V$3:$V$159,"FAIL")</f>
        <v>0</v>
      </c>
      <c r="F17">
        <f>COUNTIFS('TEST-CASE'!$K$3:$K$159,"HU-1.4",'TEST-CASE'!$V$3:$V$159,"BLOCKED")</f>
        <v>0</v>
      </c>
    </row>
    <row r="18" spans="1:6" x14ac:dyDescent="0.25">
      <c r="A18" s="5" t="s">
        <v>950</v>
      </c>
      <c r="B18" s="5">
        <f>COUNTIF('TEST-CASE'!$K$3:$K$159,"HU-1.2")</f>
        <v>12</v>
      </c>
      <c r="C18">
        <f>COUNTIFS('TEST-CASE'!$K$3:$K$159,"HU-1.2",'TEST-CASE'!$V$3:$V$159,"NOT RUN")</f>
        <v>12</v>
      </c>
      <c r="D18">
        <f>COUNTIFS('TEST-CASE'!$K$3:$K$159,"HU-1.2",'TEST-CASE'!$V$3:$V$159,"PASS")</f>
        <v>0</v>
      </c>
      <c r="E18">
        <f>COUNTIFS('TEST-CASE'!$K$3:$K$159,"HU-1.2",'TEST-CASE'!$V$3:$V$159,"FAIL")</f>
        <v>0</v>
      </c>
      <c r="F18">
        <f>COUNTIFS('TEST-CASE'!$K$3:$K$159,"HU-1.2",'TEST-CASE'!$V$3:$V$159,"BLOCKED")</f>
        <v>0</v>
      </c>
    </row>
    <row r="19" spans="1:6" x14ac:dyDescent="0.25">
      <c r="A19" s="6" t="s">
        <v>951</v>
      </c>
      <c r="B19" s="11">
        <f>COUNTIF('TEST-CASE'!$K$3:$K$159,"HU-5.3")</f>
        <v>8</v>
      </c>
      <c r="C19">
        <f>COUNTIFS('TEST-CASE'!$K$3:$K$159,"HU-5.3",'TEST-CASE'!$V$3:$V$159,"NOT RUN")</f>
        <v>8</v>
      </c>
      <c r="D19">
        <f>COUNTIFS('TEST-CASE'!$K$3:$K$159,"HU-5.3",'TEST-CASE'!$V$3:$V$159,"PASS")</f>
        <v>0</v>
      </c>
      <c r="E19">
        <f>COUNTIFS('TEST-CASE'!$K$3:$K$159,"HU-5.3",'TEST-CASE'!$V$3:$V$159,"FAIL")</f>
        <v>0</v>
      </c>
      <c r="F19">
        <f>COUNTIFS('TEST-CASE'!$K$3:$K$159,"HU-5.3",'TEST-CASE'!$V$3:$V$159,"BLOCKED")</f>
        <v>0</v>
      </c>
    </row>
    <row r="20" spans="1:6" x14ac:dyDescent="0.25">
      <c r="A20" s="6" t="s">
        <v>952</v>
      </c>
      <c r="B20" s="11">
        <f>COUNTIF('TEST-CASE'!$K$3:$K$159,"HU-5.4")</f>
        <v>9</v>
      </c>
      <c r="C20">
        <f>COUNTIFS('TEST-CASE'!$K$3:$K$159,"HU-5.4",'TEST-CASE'!$V$3:$V$159,"NOT RUN")</f>
        <v>9</v>
      </c>
      <c r="D20">
        <f>COUNTIFS('TEST-CASE'!$K$3:$K$159,"HU-5.4",'TEST-CASE'!$V$3:$V$159,"PASS")</f>
        <v>0</v>
      </c>
      <c r="E20">
        <f>COUNTIFS('TEST-CASE'!$K$3:$K$159,"HU-5.4",'TEST-CASE'!$V$3:$V$159,"FAIL")</f>
        <v>0</v>
      </c>
      <c r="F20">
        <f>COUNTIFS('TEST-CASE'!$K$3:$K$159,"HU-5.4",'TEST-CASE'!$V$3:$V$159,"BLOCKED")</f>
        <v>0</v>
      </c>
    </row>
    <row r="21" spans="1:6" x14ac:dyDescent="0.25">
      <c r="A21" s="6" t="s">
        <v>953</v>
      </c>
      <c r="B21" s="11">
        <f>COUNTIF('TEST-CASE'!$H$3:$H$156,"E2E-A-01")</f>
        <v>1</v>
      </c>
      <c r="C21">
        <f>COUNTIFS('TEST-CASE'!$H$3:$H$156,"E2E-A-01",'TEST-CASE'!$V$3:$V$156,"NOT RUN")</f>
        <v>0</v>
      </c>
      <c r="D21">
        <f>COUNTIFS('TEST-CASE'!$H$3:$H$156,"E2E-A-01",'TEST-CASE'!$V$3:$V$156,"PASS")</f>
        <v>1</v>
      </c>
      <c r="E21">
        <f>COUNTIFS('TEST-CASE'!$H$3:$H$156,"E2E-A-01",'TEST-CASE'!$V$3:$V$156,"FAIL")</f>
        <v>0</v>
      </c>
      <c r="F21">
        <f>COUNTIFS('TEST-CASE'!$H$3:$H$156,"E2E-A-01",'TEST-CASE'!$V$3:$V$156,"BLOCKED")</f>
        <v>0</v>
      </c>
    </row>
    <row r="22" spans="1:6" x14ac:dyDescent="0.25">
      <c r="A22" s="6" t="s">
        <v>954</v>
      </c>
      <c r="B22" s="11">
        <f>COUNTIF('TEST-CASE'!$H$3:$H$156,"E2E-A-NEG-*")</f>
        <v>4</v>
      </c>
      <c r="C22">
        <f>COUNTIFS('TEST-CASE'!$H$3:$H$156,"E2E-A-NEG-*",'TEST-CASE'!$V$3:$V$156,"NOT RUN")</f>
        <v>0</v>
      </c>
      <c r="D22">
        <f>COUNTIFS('TEST-CASE'!$H$3:$H$156,"E2E-A-NEG-*",'TEST-CASE'!$V$3:$V$156,"PASS")</f>
        <v>4</v>
      </c>
      <c r="E22">
        <f>COUNTIFS('TEST-CASE'!$H$3:$H$156,"E2E-A-NEG-*",'TEST-CASE'!$V$3:$V$156,"FAIL")</f>
        <v>0</v>
      </c>
      <c r="F22">
        <f>COUNTIFS('TEST-CASE'!$H$3:$H$156,"E2E-A-NEG-*",'TEST-CASE'!$V$3:$V$156,"BLOCKED")</f>
        <v>0</v>
      </c>
    </row>
    <row r="23" spans="1:6" x14ac:dyDescent="0.25">
      <c r="A23" s="6" t="s">
        <v>955</v>
      </c>
      <c r="B23" s="11">
        <f>COUNTIF('TEST-CASE'!$H$3:$H$156,"E2E-B-01")</f>
        <v>1</v>
      </c>
      <c r="C23">
        <f>COUNTIFS('TEST-CASE'!$H$3:$H$156,"E2E-B-01",'TEST-CASE'!$V$3:$V$156,"NOT RUN")</f>
        <v>0</v>
      </c>
      <c r="D23">
        <f>COUNTIFS('TEST-CASE'!$H$3:$H$156,"E2E-B-01",'TEST-CASE'!$V$3:$V$156,"PASS")</f>
        <v>1</v>
      </c>
      <c r="E23">
        <f>COUNTIFS('TEST-CASE'!$H$3:$H$156,"E2E-B-01",'TEST-CASE'!$V$3:$V$156,"FAIL")</f>
        <v>0</v>
      </c>
      <c r="F23">
        <f>COUNTIFS('TEST-CASE'!$H$3:$H$156,"E2E-B-01",'TEST-CASE'!$V$3:$V$156,"BLOCKED")</f>
        <v>0</v>
      </c>
    </row>
    <row r="24" spans="1:6" x14ac:dyDescent="0.25">
      <c r="A24" s="6" t="s">
        <v>956</v>
      </c>
      <c r="B24" s="11">
        <f>COUNTIF('TEST-CASE'!$H$3:$H$156,"E2E-B-NEG-*")</f>
        <v>4</v>
      </c>
      <c r="C24">
        <f>COUNTIFS('TEST-CASE'!$H$3:$H$156,"E2E-B-NEG-*",'TEST-CASE'!$V$3:$V$156,"NOT RUN")</f>
        <v>0</v>
      </c>
      <c r="D24">
        <f>COUNTIFS('TEST-CASE'!$H$3:$H$156,"E2E-B-NEG-*",'TEST-CASE'!$V$3:$V$156,"PASS")</f>
        <v>4</v>
      </c>
      <c r="E24">
        <f>COUNTIFS('TEST-CASE'!$H$3:$H$156,"E2E-B-NEG-*",'TEST-CASE'!$V$3:$V$156,"FAIL")</f>
        <v>0</v>
      </c>
      <c r="F24">
        <f>COUNTIFS('TEST-CASE'!$H$3:$H$156,"E2E-B-NEG-*",'TEST-CASE'!$V$3:$V$156,"BLOCKED")</f>
        <v>0</v>
      </c>
    </row>
    <row r="25" spans="1:6" x14ac:dyDescent="0.25">
      <c r="A25" s="6" t="s">
        <v>957</v>
      </c>
      <c r="B25" s="11">
        <f>COUNTIF('TEST-CASE'!$H$3:$H$156,"E2E-C-01")</f>
        <v>1</v>
      </c>
      <c r="C25">
        <f>COUNTIFS('TEST-CASE'!$H$3:$H$156,"E2E-C-01",'TEST-CASE'!$V$3:$V$156,"NOT RUN")</f>
        <v>1</v>
      </c>
      <c r="D25">
        <f>COUNTIFS('TEST-CASE'!$H$3:$H$156,"E2E-C-01",'TEST-CASE'!$V$3:$V$156,"PASS")</f>
        <v>0</v>
      </c>
      <c r="E25">
        <f>COUNTIFS('TEST-CASE'!$H$3:$H$156,"E2E-C-01",'TEST-CASE'!$V$3:$V$156,"FAIL")</f>
        <v>0</v>
      </c>
      <c r="F25">
        <f>COUNTIFS('TEST-CASE'!$H$3:$H$156,"E2E-C-01",'TEST-CASE'!$V$3:$V$156,"BLOCKED")</f>
        <v>0</v>
      </c>
    </row>
    <row r="26" spans="1:6" x14ac:dyDescent="0.25">
      <c r="A26" t="s">
        <v>958</v>
      </c>
      <c r="B26">
        <f>COUNTIF('TEST-CASE'!$H$3:$H$156,"E2E-C-NEG-*")</f>
        <v>5</v>
      </c>
      <c r="C26">
        <f>COUNTIFS('TEST-CASE'!$H$3:$H$156,"E2E-C-NEG-*",'TEST-CASE'!$V$3:$V$156,"NOT RUN")</f>
        <v>5</v>
      </c>
      <c r="D26">
        <f>COUNTIFS('TEST-CASE'!$H$3:$H$156,"E2E-C-NEG-*",'TEST-CASE'!$V$3:$V$156,"PASS")</f>
        <v>0</v>
      </c>
      <c r="E26">
        <f>COUNTIFS('TEST-CASE'!$H$3:$H$156,"E2E-C-NEG-*",'TEST-CASE'!$V$3:$V$156,"FAIL")</f>
        <v>0</v>
      </c>
      <c r="F26">
        <f>COUNTIFS('TEST-CASE'!$H$3:$H$156,"E2E-C-NEG-*",'TEST-CASE'!$V$3:$V$156,"BLOCKED")</f>
        <v>0</v>
      </c>
    </row>
    <row r="27" spans="1:6" ht="15" customHeight="1" x14ac:dyDescent="0.25">
      <c r="A27" s="12" t="s">
        <v>959</v>
      </c>
      <c r="B27">
        <f>COUNTIF('TEST-CASE'!$H$3:$H$156,"E2E-D-01")</f>
        <v>0</v>
      </c>
      <c r="C27">
        <f>COUNTIFS('TEST-CASE'!$H$3:$H$156,"E2E-D-01",'TEST-CASE'!$V$3:$V$156,"NOT RUN")</f>
        <v>0</v>
      </c>
      <c r="D27">
        <f>COUNTIFS('TEST-CASE'!$H$3:$H$156,"E2E-D-01",'TEST-CASE'!$V$3:$V$156,"PASS")</f>
        <v>0</v>
      </c>
      <c r="E27">
        <f>COUNTIFS('TEST-CASE'!$H$3:$H$156,"E2E-D-01",'TEST-CASE'!$V$3:$V$156,"FAIL")</f>
        <v>0</v>
      </c>
      <c r="F27">
        <f>COUNTIFS('TEST-CASE'!$H$3:$H$156,"E2E-D-01",'TEST-CASE'!$V$3:$V$156,"BLOCKED")</f>
        <v>0</v>
      </c>
    </row>
    <row r="28" spans="1:6" x14ac:dyDescent="0.25">
      <c r="A28" t="s">
        <v>960</v>
      </c>
      <c r="B28">
        <f>COUNTIF('TEST-CASE'!$H$3:$H$156,"E2E-D-NEG-*")</f>
        <v>0</v>
      </c>
      <c r="C28">
        <f>COUNTIFS('TEST-CASE'!$H$3:$H$156,"E2E-D-NEG-*",'TEST-CASE'!$V$3:$V$156,"NOT RUN")</f>
        <v>0</v>
      </c>
      <c r="D28">
        <f>COUNTIFS('TEST-CASE'!$H$3:$H$156,"E2E-D-NEG-*",'TEST-CASE'!$V$3:$V$156,"PASS")</f>
        <v>0</v>
      </c>
      <c r="E28">
        <f>COUNTIFS('TEST-CASE'!$H$3:$H$156,"E2E-D-NEG-*",'TEST-CASE'!$V$3:$V$156,"FAIL")</f>
        <v>0</v>
      </c>
      <c r="F28">
        <f>COUNTIFS('TEST-CASE'!$H$3:$H$156,"E2E-D-NEG-*",'TEST-CASE'!$V$3:$V$156,"BLOCKED")</f>
        <v>0</v>
      </c>
    </row>
    <row r="29" spans="1:6" x14ac:dyDescent="0.25">
      <c r="A29" t="s">
        <v>961</v>
      </c>
      <c r="B29">
        <f>COUNTIF('TEST-CASE'!$H$3:$H$156,"*-A-*")</f>
        <v>51</v>
      </c>
      <c r="C29">
        <f>COUNTIFS('TEST-CASE'!$H$3:$H$156,"*-A-*",'TEST-CASE'!$V$3:$V$156,"NOT RUN")</f>
        <v>0</v>
      </c>
      <c r="D29">
        <f>COUNTIFS('TEST-CASE'!$H$3:$H$156,"*-A-*",'TEST-CASE'!$V$3:$V$156,"PASS")</f>
        <v>49</v>
      </c>
      <c r="E29">
        <f>COUNTIFS('TEST-CASE'!$H$3:$H$156,"*-A-*",'TEST-CASE'!$V$3:$V$156,"FAIL")</f>
        <v>2</v>
      </c>
      <c r="F29">
        <f>COUNTIFS('TEST-CASE'!$H$3:$H$156,"*-A-*",'TEST-CASE'!$V$3:$V$156,"BLOCKED")</f>
        <v>0</v>
      </c>
    </row>
    <row r="30" spans="1:6" x14ac:dyDescent="0.25">
      <c r="A30" t="s">
        <v>962</v>
      </c>
      <c r="B30">
        <f>COUNTIF('TEST-CASE'!$H$3:$H$156,"*-B-*")</f>
        <v>36</v>
      </c>
      <c r="C30">
        <f>COUNTIFS('TEST-CASE'!$H$3:$H$156,"*-B-*",'TEST-CASE'!$V$3:$V$156,"NOT RUN")</f>
        <v>0</v>
      </c>
      <c r="D30">
        <f>COUNTIFS('TEST-CASE'!$H$3:$H$156,"*-B-*",'TEST-CASE'!$V$3:$V$156,"PASS")</f>
        <v>36</v>
      </c>
      <c r="E30">
        <f>COUNTIFS('TEST-CASE'!$H$3:$H$156,"*-B-*",'TEST-CASE'!$V$3:$V$156,"FAIL")</f>
        <v>0</v>
      </c>
      <c r="F30">
        <f>COUNTIFS('TEST-CASE'!$H$3:$H$156,"*-B-*",'TEST-CASE'!$V$3:$V$156,"BLOCKED")</f>
        <v>0</v>
      </c>
    </row>
    <row r="31" spans="1:6" x14ac:dyDescent="0.25">
      <c r="A31" t="s">
        <v>963</v>
      </c>
      <c r="B31">
        <f>COUNTIF('TEST-CASE'!$H$3:$H$156,"*-C-*")</f>
        <v>40</v>
      </c>
      <c r="C31">
        <f>COUNTIFS('TEST-CASE'!$H$3:$H$156,"*-C-*",'TEST-CASE'!$V$3:$V$156,"NOT RUN")</f>
        <v>40</v>
      </c>
      <c r="D31">
        <f>COUNTIFS('TEST-CASE'!$H$3:$H$156,"*-C-*",'TEST-CASE'!$V$3:$V$156,"PASS")</f>
        <v>0</v>
      </c>
      <c r="E31">
        <f>COUNTIFS('TEST-CASE'!$H$3:$H$156,"*-C-*",'TEST-CASE'!$V$3:$V$156,"FAIL")</f>
        <v>0</v>
      </c>
      <c r="F31">
        <f>COUNTIFS('TEST-CASE'!$H$3:$H$156,"*-C-*",'TEST-CASE'!$V$3:$V$156,"BLOCKED")</f>
        <v>0</v>
      </c>
    </row>
    <row r="32" spans="1:6" x14ac:dyDescent="0.25">
      <c r="A32" t="s">
        <v>964</v>
      </c>
      <c r="B32">
        <f>COUNTIF('TEST-CASE'!$H$3:$H$156,"*-D-*")</f>
        <v>27</v>
      </c>
      <c r="C32">
        <f>COUNTIFS('TEST-CASE'!$H$3:$H$156,"*-D-*",'TEST-CASE'!$V$3:$V$156,"NOT RUN")</f>
        <v>27</v>
      </c>
      <c r="D32">
        <f>COUNTIFS('TEST-CASE'!$H$3:$H$156,"*-D-*",'TEST-CASE'!$V$3:$V$156,"PASS")</f>
        <v>0</v>
      </c>
      <c r="E32">
        <f>COUNTIFS('TEST-CASE'!$H$3:$H$156,"*-D-*",'TEST-CASE'!$V$3:$V$156,"FAIL")</f>
        <v>0</v>
      </c>
      <c r="F32">
        <f>COUNTIFS('TEST-CASE'!$H$3:$H$156,"*-D-*",'TEST-CASE'!$V$3:$V$156,"BLOCKED")</f>
        <v>0</v>
      </c>
    </row>
    <row r="33" spans="1:6" x14ac:dyDescent="0.25">
      <c r="A33" t="s">
        <v>965</v>
      </c>
      <c r="B33">
        <f>COUNTA('TEST-CASE'!$H$3:$H$156)</f>
        <v>154</v>
      </c>
      <c r="C33">
        <f>COUNTIF('TEST-CASE'!$V$3:$V$156,"NOT RUN")</f>
        <v>67</v>
      </c>
      <c r="D33">
        <f>COUNTIF('TEST-CASE'!$V$3:$V$156,"PASS")</f>
        <v>85</v>
      </c>
      <c r="E33">
        <f>COUNTIF('TEST-CASE'!$V$3:$V$156,"FAIL")</f>
        <v>2</v>
      </c>
      <c r="F33">
        <f>COUNTIF('TEST-CASE'!$V$3:$V$156,"BLOCKED")</f>
        <v>0</v>
      </c>
    </row>
    <row r="36" spans="1:6" x14ac:dyDescent="0.25">
      <c r="A36" t="s">
        <v>966</v>
      </c>
      <c r="B36" t="s">
        <v>935</v>
      </c>
    </row>
    <row r="37" spans="1:6" x14ac:dyDescent="0.25">
      <c r="A37" t="s">
        <v>41</v>
      </c>
      <c r="B37">
        <f>COUNTIF('TEST-CASE'!$N$3:$N$156,"CRITICAL")</f>
        <v>36</v>
      </c>
    </row>
    <row r="38" spans="1:6" x14ac:dyDescent="0.25">
      <c r="A38" t="s">
        <v>54</v>
      </c>
      <c r="B38">
        <f>COUNTIF('TEST-CASE'!$N$3:$N$156,"HIGH")</f>
        <v>42</v>
      </c>
    </row>
    <row r="39" spans="1:6" x14ac:dyDescent="0.25">
      <c r="A39" t="s">
        <v>61</v>
      </c>
      <c r="B39">
        <f>COUNTIF('TEST-CASE'!$N$3:$N$156,"MEDIUM")</f>
        <v>76</v>
      </c>
    </row>
    <row r="40" spans="1:6" x14ac:dyDescent="0.25">
      <c r="A40" t="s">
        <v>928</v>
      </c>
      <c r="B40">
        <f>COUNTIF('TEST-CASE'!$N$3:$N$156,"LOW")</f>
        <v>0</v>
      </c>
    </row>
    <row r="42" spans="1:6" x14ac:dyDescent="0.25">
      <c r="A42" t="s">
        <v>967</v>
      </c>
      <c r="B42" t="s">
        <v>935</v>
      </c>
    </row>
    <row r="43" spans="1:6" x14ac:dyDescent="0.25">
      <c r="A43" t="s">
        <v>42</v>
      </c>
      <c r="B43">
        <f>COUNTIF('TEST-CASE'!$O$3:$O$156,"FUNCTIONAL")</f>
        <v>107</v>
      </c>
    </row>
    <row r="44" spans="1:6" x14ac:dyDescent="0.25">
      <c r="A44" t="s">
        <v>55</v>
      </c>
      <c r="B44">
        <f>COUNTIF('TEST-CASE'!$O$3:$O$156,"NEGATIVE")</f>
        <v>15</v>
      </c>
    </row>
    <row r="45" spans="1:6" x14ac:dyDescent="0.25">
      <c r="A45" t="s">
        <v>221</v>
      </c>
      <c r="B45">
        <f>COUNTIF('TEST-CASE'!$O$3:$O$156,"VALIDATION")</f>
        <v>3</v>
      </c>
    </row>
    <row r="46" spans="1:6" x14ac:dyDescent="0.25">
      <c r="A46" t="s">
        <v>103</v>
      </c>
      <c r="B46">
        <f>COUNTIF('TEST-CASE'!$O$3:$O$156,"INTEGRATION")</f>
        <v>10</v>
      </c>
    </row>
    <row r="47" spans="1:6" x14ac:dyDescent="0.25">
      <c r="A47" t="s">
        <v>172</v>
      </c>
      <c r="B47">
        <f>COUNTIF('TEST-CASE'!$O$3:$O$156,"E2E")</f>
        <v>18</v>
      </c>
    </row>
    <row r="48" spans="1:6" x14ac:dyDescent="0.25">
      <c r="A48" t="s">
        <v>930</v>
      </c>
      <c r="B48">
        <f>COUNTIF('TEST-CASE'!$O$3:$O$156,"REGRESSION")</f>
        <v>0</v>
      </c>
    </row>
    <row r="49" spans="1:6" x14ac:dyDescent="0.25">
      <c r="A49" t="s">
        <v>931</v>
      </c>
      <c r="B49">
        <f>COUNTIF('TEST-CASE'!$O$3:$O$156,"SECURITY")</f>
        <v>0</v>
      </c>
    </row>
    <row r="51" spans="1:6" x14ac:dyDescent="0.25">
      <c r="A51" s="15" t="s">
        <v>968</v>
      </c>
      <c r="B51" s="15"/>
      <c r="C51" s="15"/>
      <c r="D51" s="15"/>
      <c r="E51" s="15"/>
      <c r="F51" s="15"/>
    </row>
    <row r="52" spans="1:6" x14ac:dyDescent="0.25">
      <c r="A52" t="s">
        <v>969</v>
      </c>
      <c r="B52" t="s">
        <v>935</v>
      </c>
      <c r="C52" t="s">
        <v>46</v>
      </c>
    </row>
    <row r="53" spans="1:6" x14ac:dyDescent="0.25">
      <c r="A53" t="s">
        <v>970</v>
      </c>
      <c r="B53">
        <v>51</v>
      </c>
      <c r="C53" t="s">
        <v>46</v>
      </c>
    </row>
    <row r="54" spans="1:6" x14ac:dyDescent="0.25">
      <c r="A54" t="s">
        <v>971</v>
      </c>
      <c r="B54">
        <v>36</v>
      </c>
      <c r="C54" t="s">
        <v>46</v>
      </c>
    </row>
    <row r="55" spans="1:6" x14ac:dyDescent="0.25">
      <c r="A55" t="s">
        <v>972</v>
      </c>
      <c r="B55">
        <v>40</v>
      </c>
      <c r="C55" t="s">
        <v>46</v>
      </c>
    </row>
    <row r="56" spans="1:6" x14ac:dyDescent="0.25">
      <c r="A56" t="s">
        <v>973</v>
      </c>
      <c r="B56">
        <v>30</v>
      </c>
      <c r="C56" t="s">
        <v>46</v>
      </c>
    </row>
    <row r="57" spans="1:6" x14ac:dyDescent="0.25">
      <c r="A57" t="s">
        <v>974</v>
      </c>
      <c r="B57">
        <v>157</v>
      </c>
      <c r="C57" t="s">
        <v>46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1"/>
  <sheetViews>
    <sheetView workbookViewId="0">
      <pane ySplit="4" topLeftCell="A5" activePane="bottomLeft" state="frozen"/>
      <selection pane="bottomLeft" activeCell="A32" sqref="A32"/>
    </sheetView>
  </sheetViews>
  <sheetFormatPr baseColWidth="10" defaultColWidth="9.140625" defaultRowHeight="15" x14ac:dyDescent="0.25"/>
  <cols>
    <col min="1" max="1" width="34" customWidth="1"/>
    <col min="2" max="2" width="95" customWidth="1"/>
    <col min="3" max="3" width="45" customWidth="1"/>
  </cols>
  <sheetData>
    <row r="1" spans="1:4" ht="45" x14ac:dyDescent="0.25">
      <c r="A1" s="16" t="s">
        <v>975</v>
      </c>
      <c r="B1" s="16"/>
      <c r="C1" s="16"/>
      <c r="D1" s="16"/>
    </row>
    <row r="2" spans="1:4" x14ac:dyDescent="0.25">
      <c r="A2" s="14" t="s">
        <v>976</v>
      </c>
      <c r="B2" s="14" t="s">
        <v>1072</v>
      </c>
      <c r="C2" s="14"/>
      <c r="D2" s="14"/>
    </row>
    <row r="3" spans="1:4" ht="75" x14ac:dyDescent="0.25">
      <c r="A3" s="14" t="s">
        <v>977</v>
      </c>
      <c r="B3" s="14"/>
      <c r="C3" s="14"/>
      <c r="D3" s="14"/>
    </row>
    <row r="4" spans="1:4" x14ac:dyDescent="0.25">
      <c r="A4" s="16" t="s">
        <v>978</v>
      </c>
      <c r="B4" s="16" t="s">
        <v>979</v>
      </c>
      <c r="C4" s="16" t="s">
        <v>980</v>
      </c>
      <c r="D4" s="16"/>
    </row>
    <row r="5" spans="1:4" x14ac:dyDescent="0.25">
      <c r="A5" s="14" t="s">
        <v>981</v>
      </c>
      <c r="B5" s="14" t="s">
        <v>982</v>
      </c>
      <c r="C5" s="14" t="s">
        <v>983</v>
      </c>
      <c r="D5" s="14"/>
    </row>
    <row r="6" spans="1:4" x14ac:dyDescent="0.25">
      <c r="A6" s="14" t="s">
        <v>984</v>
      </c>
      <c r="B6" s="14" t="s">
        <v>985</v>
      </c>
      <c r="C6" s="14" t="s">
        <v>983</v>
      </c>
      <c r="D6" s="14"/>
    </row>
    <row r="7" spans="1:4" x14ac:dyDescent="0.25">
      <c r="A7" s="14" t="s">
        <v>986</v>
      </c>
      <c r="B7" s="14" t="s">
        <v>987</v>
      </c>
      <c r="C7" s="14" t="s">
        <v>983</v>
      </c>
      <c r="D7" s="14"/>
    </row>
    <row r="8" spans="1:4" x14ac:dyDescent="0.25">
      <c r="A8" s="14" t="s">
        <v>988</v>
      </c>
      <c r="B8" s="14" t="s">
        <v>989</v>
      </c>
      <c r="C8" s="14" t="s">
        <v>983</v>
      </c>
      <c r="D8" s="14"/>
    </row>
    <row r="9" spans="1:4" x14ac:dyDescent="0.25">
      <c r="A9" s="14" t="s">
        <v>990</v>
      </c>
      <c r="B9" s="14" t="s">
        <v>991</v>
      </c>
      <c r="C9" s="14" t="s">
        <v>992</v>
      </c>
      <c r="D9" s="14"/>
    </row>
    <row r="10" spans="1:4" x14ac:dyDescent="0.25">
      <c r="A10" s="14" t="s">
        <v>993</v>
      </c>
      <c r="B10" s="14" t="s">
        <v>994</v>
      </c>
      <c r="C10" s="14" t="s">
        <v>992</v>
      </c>
      <c r="D10" s="14"/>
    </row>
    <row r="11" spans="1:4" x14ac:dyDescent="0.25">
      <c r="A11" s="14" t="s">
        <v>995</v>
      </c>
      <c r="B11" s="14" t="s">
        <v>996</v>
      </c>
      <c r="C11" s="14" t="s">
        <v>992</v>
      </c>
      <c r="D11" s="14"/>
    </row>
    <row r="12" spans="1:4" x14ac:dyDescent="0.25">
      <c r="A12" s="14" t="s">
        <v>997</v>
      </c>
      <c r="B12" s="14" t="s">
        <v>998</v>
      </c>
      <c r="C12" s="14" t="s">
        <v>992</v>
      </c>
      <c r="D12" s="14"/>
    </row>
    <row r="13" spans="1:4" x14ac:dyDescent="0.25">
      <c r="A13" s="14" t="s">
        <v>999</v>
      </c>
      <c r="B13" s="14" t="s">
        <v>1000</v>
      </c>
      <c r="C13" s="14" t="s">
        <v>1001</v>
      </c>
      <c r="D13" s="14"/>
    </row>
    <row r="14" spans="1:4" x14ac:dyDescent="0.25">
      <c r="A14" s="14" t="s">
        <v>1002</v>
      </c>
      <c r="B14" s="14" t="s">
        <v>1003</v>
      </c>
      <c r="C14" s="14" t="s">
        <v>1004</v>
      </c>
      <c r="D14" s="14"/>
    </row>
    <row r="15" spans="1:4" x14ac:dyDescent="0.25">
      <c r="A15" s="14"/>
      <c r="B15" s="14"/>
      <c r="C15" s="14"/>
      <c r="D15" s="14"/>
    </row>
    <row r="16" spans="1:4" x14ac:dyDescent="0.25">
      <c r="A16" s="14"/>
      <c r="B16" s="14"/>
      <c r="C16" s="14"/>
      <c r="D16" s="14"/>
    </row>
    <row r="17" spans="1:4" x14ac:dyDescent="0.25">
      <c r="A17" s="16" t="s">
        <v>968</v>
      </c>
      <c r="B17" s="16"/>
      <c r="C17" s="16"/>
      <c r="D17" s="16"/>
    </row>
    <row r="18" spans="1:4" x14ac:dyDescent="0.25">
      <c r="A18" s="16" t="s">
        <v>969</v>
      </c>
      <c r="B18" s="16" t="s">
        <v>1005</v>
      </c>
      <c r="C18" s="16" t="s">
        <v>1006</v>
      </c>
      <c r="D18" s="16" t="s">
        <v>1007</v>
      </c>
    </row>
    <row r="19" spans="1:4" x14ac:dyDescent="0.25">
      <c r="A19" s="14" t="s">
        <v>970</v>
      </c>
      <c r="B19" s="14">
        <v>51</v>
      </c>
      <c r="C19" s="14">
        <v>0</v>
      </c>
      <c r="D19" s="14">
        <v>51</v>
      </c>
    </row>
    <row r="20" spans="1:4" x14ac:dyDescent="0.25">
      <c r="A20" s="14" t="s">
        <v>971</v>
      </c>
      <c r="B20" s="14">
        <v>36</v>
      </c>
      <c r="C20" s="14">
        <v>0</v>
      </c>
      <c r="D20" s="14">
        <v>36</v>
      </c>
    </row>
    <row r="21" spans="1:4" x14ac:dyDescent="0.25">
      <c r="A21" s="14" t="s">
        <v>972</v>
      </c>
      <c r="B21" s="14">
        <v>40</v>
      </c>
      <c r="C21" s="14">
        <v>0</v>
      </c>
      <c r="D21" s="14">
        <v>40</v>
      </c>
    </row>
    <row r="22" spans="1:4" x14ac:dyDescent="0.25">
      <c r="A22" s="14" t="s">
        <v>973</v>
      </c>
      <c r="B22" s="14">
        <v>30</v>
      </c>
      <c r="C22" s="14">
        <v>0</v>
      </c>
      <c r="D22" s="14">
        <v>30</v>
      </c>
    </row>
    <row r="23" spans="1:4" x14ac:dyDescent="0.25">
      <c r="A23" s="14" t="s">
        <v>1008</v>
      </c>
      <c r="B23" s="14">
        <v>157</v>
      </c>
      <c r="C23" s="14">
        <v>0</v>
      </c>
      <c r="D23" s="14">
        <v>157</v>
      </c>
    </row>
    <row r="24" spans="1:4" x14ac:dyDescent="0.25">
      <c r="A24" s="16"/>
      <c r="B24" s="16"/>
      <c r="C24" s="16"/>
      <c r="D24" s="16"/>
    </row>
    <row r="25" spans="1:4" x14ac:dyDescent="0.25">
      <c r="A25" s="14" t="s">
        <v>1009</v>
      </c>
      <c r="B25" s="14" t="s">
        <v>1010</v>
      </c>
      <c r="C25" s="14"/>
      <c r="D25" s="14"/>
    </row>
    <row r="26" spans="1:4" x14ac:dyDescent="0.25">
      <c r="A26" s="14" t="s">
        <v>1011</v>
      </c>
      <c r="B26" s="14" t="s">
        <v>1012</v>
      </c>
      <c r="C26" s="14" t="s">
        <v>1013</v>
      </c>
      <c r="D26" s="14"/>
    </row>
    <row r="27" spans="1:4" ht="45" x14ac:dyDescent="0.25">
      <c r="A27" s="14" t="s">
        <v>1014</v>
      </c>
      <c r="B27" s="14" t="s">
        <v>1015</v>
      </c>
      <c r="C27" s="14" t="s">
        <v>1016</v>
      </c>
      <c r="D27" s="14"/>
    </row>
    <row r="28" spans="1:4" ht="30" x14ac:dyDescent="0.25">
      <c r="A28" s="14" t="s">
        <v>1017</v>
      </c>
      <c r="B28" s="14" t="s">
        <v>1018</v>
      </c>
      <c r="C28" s="14" t="s">
        <v>1019</v>
      </c>
      <c r="D28" s="14"/>
    </row>
    <row r="29" spans="1:4" ht="30" x14ac:dyDescent="0.25">
      <c r="A29" s="14" t="s">
        <v>1020</v>
      </c>
      <c r="B29" s="14" t="s">
        <v>1021</v>
      </c>
      <c r="C29" s="14" t="s">
        <v>1022</v>
      </c>
      <c r="D29" s="14"/>
    </row>
    <row r="30" spans="1:4" ht="30" x14ac:dyDescent="0.25">
      <c r="A30" s="14" t="s">
        <v>1023</v>
      </c>
      <c r="B30" s="14" t="s">
        <v>1024</v>
      </c>
      <c r="C30" s="14" t="s">
        <v>1022</v>
      </c>
      <c r="D30" s="14"/>
    </row>
    <row r="31" spans="1:4" ht="30" x14ac:dyDescent="0.25">
      <c r="A31" s="14" t="s">
        <v>1025</v>
      </c>
      <c r="B31" s="14" t="s">
        <v>1026</v>
      </c>
      <c r="C31" s="14" t="s">
        <v>1027</v>
      </c>
      <c r="D31" s="1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workbookViewId="0">
      <pane ySplit="1" topLeftCell="A2" activePane="bottomLeft" state="frozen"/>
      <selection pane="bottomLeft"/>
    </sheetView>
  </sheetViews>
  <sheetFormatPr baseColWidth="10" defaultColWidth="9.140625" defaultRowHeight="15" x14ac:dyDescent="0.25"/>
  <cols>
    <col min="1" max="1" width="20" customWidth="1"/>
    <col min="2" max="2" width="10" customWidth="1"/>
    <col min="3" max="3" width="22" customWidth="1"/>
    <col min="4" max="4" width="85" customWidth="1"/>
    <col min="5" max="5" width="50" customWidth="1"/>
  </cols>
  <sheetData>
    <row r="1" spans="1:5" x14ac:dyDescent="0.25">
      <c r="A1" s="17" t="s">
        <v>8</v>
      </c>
      <c r="B1" s="17" t="s">
        <v>969</v>
      </c>
      <c r="C1" s="17" t="s">
        <v>1028</v>
      </c>
      <c r="D1" s="17" t="s">
        <v>1029</v>
      </c>
      <c r="E1" s="17" t="s">
        <v>1030</v>
      </c>
    </row>
    <row r="2" spans="1:5" ht="30" x14ac:dyDescent="0.25">
      <c r="A2" s="14" t="s">
        <v>1031</v>
      </c>
      <c r="B2" s="14" t="s">
        <v>1032</v>
      </c>
      <c r="C2" s="14" t="s">
        <v>1033</v>
      </c>
      <c r="D2" s="14" t="s">
        <v>1034</v>
      </c>
      <c r="E2" s="14" t="s">
        <v>1035</v>
      </c>
    </row>
    <row r="3" spans="1:5" x14ac:dyDescent="0.25">
      <c r="A3" s="14" t="s">
        <v>1036</v>
      </c>
      <c r="B3" s="14" t="s">
        <v>1032</v>
      </c>
      <c r="C3" s="14" t="s">
        <v>1033</v>
      </c>
      <c r="D3" s="14" t="s">
        <v>1037</v>
      </c>
      <c r="E3" s="14" t="s">
        <v>1038</v>
      </c>
    </row>
    <row r="4" spans="1:5" x14ac:dyDescent="0.25">
      <c r="A4" s="14" t="s">
        <v>1039</v>
      </c>
      <c r="B4" s="14" t="s">
        <v>1032</v>
      </c>
      <c r="C4" s="14" t="s">
        <v>1033</v>
      </c>
      <c r="D4" s="14" t="s">
        <v>1040</v>
      </c>
      <c r="E4" s="14" t="s">
        <v>1041</v>
      </c>
    </row>
    <row r="5" spans="1:5" x14ac:dyDescent="0.25">
      <c r="A5" s="14" t="s">
        <v>1042</v>
      </c>
      <c r="B5" s="14" t="s">
        <v>1032</v>
      </c>
      <c r="C5" s="14" t="s">
        <v>1033</v>
      </c>
      <c r="D5" s="14" t="s">
        <v>1043</v>
      </c>
      <c r="E5" s="14" t="s">
        <v>1044</v>
      </c>
    </row>
    <row r="6" spans="1:5" ht="30" x14ac:dyDescent="0.25">
      <c r="A6" s="14" t="s">
        <v>1045</v>
      </c>
      <c r="B6" s="14" t="s">
        <v>1046</v>
      </c>
      <c r="C6" s="14" t="s">
        <v>1047</v>
      </c>
      <c r="D6" s="14" t="s">
        <v>1048</v>
      </c>
      <c r="E6" s="14" t="s">
        <v>1049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8"/>
  <sheetViews>
    <sheetView workbookViewId="0">
      <pane ySplit="1" topLeftCell="A2" activePane="bottomLeft" state="frozen"/>
      <selection pane="bottomLeft" activeCell="A34" sqref="A34:XFD34"/>
    </sheetView>
  </sheetViews>
  <sheetFormatPr baseColWidth="10" defaultColWidth="9.140625" defaultRowHeight="15" x14ac:dyDescent="0.25"/>
  <cols>
    <col min="1" max="1" width="20" customWidth="1"/>
    <col min="2" max="2" width="26" customWidth="1"/>
    <col min="3" max="3" width="48" customWidth="1"/>
    <col min="4" max="4" width="40" customWidth="1"/>
    <col min="5" max="5" width="65" customWidth="1"/>
  </cols>
  <sheetData>
    <row r="1" spans="1:5" x14ac:dyDescent="0.25">
      <c r="A1" s="16" t="s">
        <v>8</v>
      </c>
      <c r="B1" s="16" t="s">
        <v>27</v>
      </c>
      <c r="C1" s="16" t="s">
        <v>1050</v>
      </c>
      <c r="D1" s="16" t="s">
        <v>1051</v>
      </c>
      <c r="E1" s="16" t="s">
        <v>1052</v>
      </c>
    </row>
    <row r="2" spans="1:5" x14ac:dyDescent="0.25">
      <c r="A2" s="14" t="s">
        <v>36</v>
      </c>
      <c r="B2" s="14" t="s">
        <v>1053</v>
      </c>
      <c r="C2" s="14" t="s">
        <v>1054</v>
      </c>
      <c r="D2" s="14" t="s">
        <v>1055</v>
      </c>
      <c r="E2" s="14" t="s">
        <v>1056</v>
      </c>
    </row>
    <row r="3" spans="1:5" x14ac:dyDescent="0.25">
      <c r="A3" s="14" t="s">
        <v>52</v>
      </c>
      <c r="B3" s="14" t="s">
        <v>48</v>
      </c>
      <c r="C3" s="14" t="s">
        <v>49</v>
      </c>
      <c r="D3" s="14" t="s">
        <v>1057</v>
      </c>
      <c r="E3" s="14" t="s">
        <v>1058</v>
      </c>
    </row>
    <row r="4" spans="1:5" x14ac:dyDescent="0.25">
      <c r="A4" s="14" t="s">
        <v>59</v>
      </c>
      <c r="B4" s="14" t="s">
        <v>1053</v>
      </c>
      <c r="C4" s="14" t="s">
        <v>1054</v>
      </c>
      <c r="D4" s="14" t="s">
        <v>1055</v>
      </c>
      <c r="E4" s="14" t="s">
        <v>1056</v>
      </c>
    </row>
    <row r="5" spans="1:5" x14ac:dyDescent="0.25">
      <c r="A5" s="14" t="s">
        <v>66</v>
      </c>
      <c r="B5" s="14" t="s">
        <v>1053</v>
      </c>
      <c r="C5" s="14" t="s">
        <v>1054</v>
      </c>
      <c r="D5" s="14" t="s">
        <v>1055</v>
      </c>
      <c r="E5" s="14" t="s">
        <v>1056</v>
      </c>
    </row>
    <row r="6" spans="1:5" x14ac:dyDescent="0.25">
      <c r="A6" s="14" t="s">
        <v>72</v>
      </c>
      <c r="B6" s="14" t="s">
        <v>48</v>
      </c>
      <c r="C6" s="14" t="s">
        <v>49</v>
      </c>
      <c r="D6" s="14" t="s">
        <v>1057</v>
      </c>
      <c r="E6" s="14" t="s">
        <v>1058</v>
      </c>
    </row>
    <row r="7" spans="1:5" x14ac:dyDescent="0.25">
      <c r="A7" s="14" t="s">
        <v>77</v>
      </c>
      <c r="B7" s="14" t="s">
        <v>48</v>
      </c>
      <c r="C7" s="14" t="s">
        <v>49</v>
      </c>
      <c r="D7" s="14" t="s">
        <v>1057</v>
      </c>
      <c r="E7" s="14" t="s">
        <v>1058</v>
      </c>
    </row>
    <row r="8" spans="1:5" x14ac:dyDescent="0.25">
      <c r="A8" s="14" t="s">
        <v>82</v>
      </c>
      <c r="B8" s="14" t="s">
        <v>48</v>
      </c>
      <c r="C8" s="14" t="s">
        <v>49</v>
      </c>
      <c r="D8" s="14" t="s">
        <v>1057</v>
      </c>
      <c r="E8" s="14" t="s">
        <v>1058</v>
      </c>
    </row>
    <row r="9" spans="1:5" x14ac:dyDescent="0.25">
      <c r="A9" s="14" t="s">
        <v>87</v>
      </c>
      <c r="B9" s="14" t="s">
        <v>48</v>
      </c>
      <c r="C9" s="14" t="s">
        <v>49</v>
      </c>
      <c r="D9" s="14" t="s">
        <v>1057</v>
      </c>
      <c r="E9" s="14" t="s">
        <v>1058</v>
      </c>
    </row>
    <row r="10" spans="1:5" x14ac:dyDescent="0.25">
      <c r="A10" s="14" t="s">
        <v>91</v>
      </c>
      <c r="B10" s="14" t="s">
        <v>48</v>
      </c>
      <c r="C10" s="14" t="s">
        <v>49</v>
      </c>
      <c r="D10" s="14" t="s">
        <v>1057</v>
      </c>
      <c r="E10" s="14" t="s">
        <v>1058</v>
      </c>
    </row>
    <row r="11" spans="1:5" x14ac:dyDescent="0.25">
      <c r="A11" s="14" t="s">
        <v>96</v>
      </c>
      <c r="B11" s="14" t="s">
        <v>48</v>
      </c>
      <c r="C11" s="14" t="s">
        <v>49</v>
      </c>
      <c r="D11" s="14" t="s">
        <v>1057</v>
      </c>
      <c r="E11" s="14" t="s">
        <v>1058</v>
      </c>
    </row>
    <row r="12" spans="1:5" x14ac:dyDescent="0.25">
      <c r="A12" s="14" t="s">
        <v>101</v>
      </c>
      <c r="B12" s="14" t="s">
        <v>48</v>
      </c>
      <c r="C12" s="14" t="s">
        <v>49</v>
      </c>
      <c r="D12" s="14" t="s">
        <v>1057</v>
      </c>
      <c r="E12" s="14" t="s">
        <v>1058</v>
      </c>
    </row>
    <row r="13" spans="1:5" x14ac:dyDescent="0.25">
      <c r="A13" s="14" t="s">
        <v>107</v>
      </c>
      <c r="B13" s="14" t="s">
        <v>48</v>
      </c>
      <c r="C13" s="14" t="s">
        <v>49</v>
      </c>
      <c r="D13" s="14" t="s">
        <v>1057</v>
      </c>
      <c r="E13" s="14" t="s">
        <v>1058</v>
      </c>
    </row>
    <row r="14" spans="1:5" x14ac:dyDescent="0.25">
      <c r="A14" s="14" t="s">
        <v>112</v>
      </c>
      <c r="B14" s="14" t="s">
        <v>48</v>
      </c>
      <c r="C14" s="14" t="s">
        <v>49</v>
      </c>
      <c r="D14" s="14" t="s">
        <v>1057</v>
      </c>
      <c r="E14" s="14" t="s">
        <v>1058</v>
      </c>
    </row>
    <row r="15" spans="1:5" x14ac:dyDescent="0.25">
      <c r="A15" s="14" t="s">
        <v>117</v>
      </c>
      <c r="B15" s="14" t="s">
        <v>1053</v>
      </c>
      <c r="C15" s="14" t="s">
        <v>1059</v>
      </c>
      <c r="D15" s="14" t="s">
        <v>1060</v>
      </c>
      <c r="E15" s="14" t="s">
        <v>1061</v>
      </c>
    </row>
    <row r="16" spans="1:5" x14ac:dyDescent="0.25">
      <c r="A16" s="14" t="s">
        <v>122</v>
      </c>
      <c r="B16" s="14" t="s">
        <v>1053</v>
      </c>
      <c r="C16" s="14" t="s">
        <v>1059</v>
      </c>
      <c r="D16" s="14" t="s">
        <v>1060</v>
      </c>
      <c r="E16" s="14" t="s">
        <v>1061</v>
      </c>
    </row>
    <row r="17" spans="1:5" x14ac:dyDescent="0.25">
      <c r="A17" s="14" t="s">
        <v>128</v>
      </c>
      <c r="B17" s="14" t="s">
        <v>48</v>
      </c>
      <c r="C17" s="14" t="s">
        <v>49</v>
      </c>
      <c r="D17" s="14" t="s">
        <v>1057</v>
      </c>
      <c r="E17" s="14" t="s">
        <v>1058</v>
      </c>
    </row>
    <row r="18" spans="1:5" x14ac:dyDescent="0.25">
      <c r="A18" s="14" t="s">
        <v>133</v>
      </c>
      <c r="B18" s="14" t="s">
        <v>1053</v>
      </c>
      <c r="C18" s="14" t="s">
        <v>1054</v>
      </c>
      <c r="D18" s="14" t="s">
        <v>1055</v>
      </c>
      <c r="E18" s="14" t="s">
        <v>1056</v>
      </c>
    </row>
    <row r="19" spans="1:5" x14ac:dyDescent="0.25">
      <c r="A19" s="14" t="s">
        <v>139</v>
      </c>
      <c r="B19" s="14" t="s">
        <v>1053</v>
      </c>
      <c r="C19" s="14" t="s">
        <v>1054</v>
      </c>
      <c r="D19" s="14" t="s">
        <v>1055</v>
      </c>
      <c r="E19" s="14" t="s">
        <v>1056</v>
      </c>
    </row>
    <row r="20" spans="1:5" x14ac:dyDescent="0.25">
      <c r="A20" s="14" t="s">
        <v>147</v>
      </c>
      <c r="B20" s="14" t="s">
        <v>48</v>
      </c>
      <c r="C20" s="14" t="s">
        <v>49</v>
      </c>
      <c r="D20" s="14" t="s">
        <v>1057</v>
      </c>
      <c r="E20" s="14" t="s">
        <v>1058</v>
      </c>
    </row>
    <row r="21" spans="1:5" x14ac:dyDescent="0.25">
      <c r="A21" s="14" t="s">
        <v>155</v>
      </c>
      <c r="B21" s="14" t="s">
        <v>48</v>
      </c>
      <c r="C21" s="14" t="s">
        <v>49</v>
      </c>
      <c r="D21" s="14" t="s">
        <v>1057</v>
      </c>
      <c r="E21" s="14" t="s">
        <v>1058</v>
      </c>
    </row>
    <row r="22" spans="1:5" x14ac:dyDescent="0.25">
      <c r="A22" s="14" t="s">
        <v>160</v>
      </c>
      <c r="B22" s="14" t="s">
        <v>48</v>
      </c>
      <c r="C22" s="14" t="s">
        <v>49</v>
      </c>
      <c r="D22" s="14" t="s">
        <v>1057</v>
      </c>
      <c r="E22" s="14" t="s">
        <v>1058</v>
      </c>
    </row>
    <row r="23" spans="1:5" x14ac:dyDescent="0.25">
      <c r="A23" s="14" t="s">
        <v>165</v>
      </c>
      <c r="B23" s="14" t="s">
        <v>48</v>
      </c>
      <c r="C23" s="14" t="s">
        <v>49</v>
      </c>
      <c r="D23" s="14" t="s">
        <v>1057</v>
      </c>
      <c r="E23" s="14" t="s">
        <v>1058</v>
      </c>
    </row>
    <row r="24" spans="1:5" x14ac:dyDescent="0.25">
      <c r="A24" s="14" t="s">
        <v>170</v>
      </c>
      <c r="B24" s="14" t="s">
        <v>48</v>
      </c>
      <c r="C24" s="14" t="s">
        <v>49</v>
      </c>
      <c r="D24" s="14" t="s">
        <v>1057</v>
      </c>
      <c r="E24" s="14" t="s">
        <v>1058</v>
      </c>
    </row>
    <row r="25" spans="1:5" x14ac:dyDescent="0.25">
      <c r="A25" s="14" t="s">
        <v>176</v>
      </c>
      <c r="B25" s="14" t="s">
        <v>48</v>
      </c>
      <c r="C25" s="14" t="s">
        <v>49</v>
      </c>
      <c r="D25" s="14" t="s">
        <v>1057</v>
      </c>
      <c r="E25" s="14" t="s">
        <v>1058</v>
      </c>
    </row>
    <row r="26" spans="1:5" x14ac:dyDescent="0.25">
      <c r="A26" s="14" t="s">
        <v>181</v>
      </c>
      <c r="B26" s="14" t="s">
        <v>48</v>
      </c>
      <c r="C26" s="14" t="s">
        <v>49</v>
      </c>
      <c r="D26" s="14" t="s">
        <v>1057</v>
      </c>
      <c r="E26" s="14" t="s">
        <v>1058</v>
      </c>
    </row>
    <row r="27" spans="1:5" x14ac:dyDescent="0.25">
      <c r="A27" s="14" t="s">
        <v>186</v>
      </c>
      <c r="B27" s="14" t="s">
        <v>48</v>
      </c>
      <c r="C27" s="14" t="s">
        <v>49</v>
      </c>
      <c r="D27" s="14" t="s">
        <v>1057</v>
      </c>
      <c r="E27" s="14" t="s">
        <v>1058</v>
      </c>
    </row>
    <row r="28" spans="1:5" x14ac:dyDescent="0.25">
      <c r="A28" s="14" t="s">
        <v>191</v>
      </c>
      <c r="B28" s="14" t="s">
        <v>48</v>
      </c>
      <c r="C28" s="14" t="s">
        <v>49</v>
      </c>
      <c r="D28" s="14" t="s">
        <v>1057</v>
      </c>
      <c r="E28" s="14" t="s">
        <v>1058</v>
      </c>
    </row>
    <row r="29" spans="1:5" x14ac:dyDescent="0.25">
      <c r="A29" s="14" t="s">
        <v>196</v>
      </c>
      <c r="B29" s="14" t="s">
        <v>48</v>
      </c>
      <c r="C29" s="14" t="s">
        <v>49</v>
      </c>
      <c r="D29" s="14" t="s">
        <v>1057</v>
      </c>
      <c r="E29" s="14" t="s">
        <v>1058</v>
      </c>
    </row>
    <row r="30" spans="1:5" x14ac:dyDescent="0.25">
      <c r="A30" s="14" t="s">
        <v>201</v>
      </c>
      <c r="B30" s="14" t="s">
        <v>48</v>
      </c>
      <c r="C30" s="14" t="s">
        <v>49</v>
      </c>
      <c r="D30" s="14" t="s">
        <v>1057</v>
      </c>
      <c r="E30" s="14" t="s">
        <v>1058</v>
      </c>
    </row>
    <row r="31" spans="1:5" x14ac:dyDescent="0.25">
      <c r="A31" s="14" t="s">
        <v>206</v>
      </c>
      <c r="B31" s="14" t="s">
        <v>48</v>
      </c>
      <c r="C31" s="14" t="s">
        <v>49</v>
      </c>
      <c r="D31" s="14" t="s">
        <v>1057</v>
      </c>
      <c r="E31" s="14" t="s">
        <v>1058</v>
      </c>
    </row>
    <row r="32" spans="1:5" x14ac:dyDescent="0.25">
      <c r="A32" s="14" t="s">
        <v>211</v>
      </c>
      <c r="B32" s="14" t="s">
        <v>48</v>
      </c>
      <c r="C32" s="14" t="s">
        <v>49</v>
      </c>
      <c r="D32" s="14" t="s">
        <v>1057</v>
      </c>
      <c r="E32" s="14" t="s">
        <v>1058</v>
      </c>
    </row>
    <row r="33" spans="1:5" x14ac:dyDescent="0.25">
      <c r="A33" s="14" t="s">
        <v>216</v>
      </c>
      <c r="B33" s="14" t="s">
        <v>48</v>
      </c>
      <c r="C33" s="14" t="s">
        <v>49</v>
      </c>
      <c r="D33" s="14" t="s">
        <v>1057</v>
      </c>
      <c r="E33" s="14" t="s">
        <v>1058</v>
      </c>
    </row>
    <row r="34" spans="1:5" x14ac:dyDescent="0.25">
      <c r="A34" s="14" t="s">
        <v>227</v>
      </c>
      <c r="B34" s="14" t="s">
        <v>48</v>
      </c>
      <c r="C34" s="14" t="s">
        <v>49</v>
      </c>
      <c r="D34" s="14" t="s">
        <v>1057</v>
      </c>
      <c r="E34" s="14" t="s">
        <v>1058</v>
      </c>
    </row>
    <row r="35" spans="1:5" x14ac:dyDescent="0.25">
      <c r="A35" s="14" t="s">
        <v>236</v>
      </c>
      <c r="B35" s="14" t="s">
        <v>1053</v>
      </c>
      <c r="C35" s="14" t="s">
        <v>1062</v>
      </c>
      <c r="D35" s="14" t="s">
        <v>1063</v>
      </c>
      <c r="E35" s="14" t="s">
        <v>1064</v>
      </c>
    </row>
    <row r="36" spans="1:5" x14ac:dyDescent="0.25">
      <c r="A36" s="14" t="s">
        <v>241</v>
      </c>
      <c r="B36" s="14" t="s">
        <v>48</v>
      </c>
      <c r="C36" s="14" t="s">
        <v>49</v>
      </c>
      <c r="D36" s="14" t="s">
        <v>1057</v>
      </c>
      <c r="E36" s="14" t="s">
        <v>1058</v>
      </c>
    </row>
    <row r="37" spans="1:5" x14ac:dyDescent="0.25">
      <c r="A37" s="14" t="s">
        <v>246</v>
      </c>
      <c r="B37" s="14" t="s">
        <v>48</v>
      </c>
      <c r="C37" s="14" t="s">
        <v>49</v>
      </c>
      <c r="D37" s="14" t="s">
        <v>1057</v>
      </c>
      <c r="E37" s="14" t="s">
        <v>1058</v>
      </c>
    </row>
    <row r="38" spans="1:5" x14ac:dyDescent="0.25">
      <c r="A38" s="14" t="s">
        <v>251</v>
      </c>
      <c r="B38" s="14" t="s">
        <v>48</v>
      </c>
      <c r="C38" s="14" t="s">
        <v>49</v>
      </c>
      <c r="D38" s="14" t="s">
        <v>1057</v>
      </c>
      <c r="E38" s="14" t="s">
        <v>1058</v>
      </c>
    </row>
    <row r="39" spans="1:5" x14ac:dyDescent="0.25">
      <c r="A39" s="14" t="s">
        <v>256</v>
      </c>
      <c r="B39" s="14" t="s">
        <v>48</v>
      </c>
      <c r="C39" s="14" t="s">
        <v>49</v>
      </c>
      <c r="D39" s="14" t="s">
        <v>1057</v>
      </c>
      <c r="E39" s="14" t="s">
        <v>1058</v>
      </c>
    </row>
    <row r="40" spans="1:5" x14ac:dyDescent="0.25">
      <c r="A40" s="14" t="s">
        <v>261</v>
      </c>
      <c r="B40" s="14" t="s">
        <v>48</v>
      </c>
      <c r="C40" s="14" t="s">
        <v>49</v>
      </c>
      <c r="D40" s="14" t="s">
        <v>1057</v>
      </c>
      <c r="E40" s="14" t="s">
        <v>1058</v>
      </c>
    </row>
    <row r="41" spans="1:5" x14ac:dyDescent="0.25">
      <c r="A41" s="14" t="s">
        <v>266</v>
      </c>
      <c r="B41" s="14" t="s">
        <v>48</v>
      </c>
      <c r="C41" s="14" t="s">
        <v>49</v>
      </c>
      <c r="D41" s="14" t="s">
        <v>1057</v>
      </c>
      <c r="E41" s="14" t="s">
        <v>1058</v>
      </c>
    </row>
    <row r="42" spans="1:5" x14ac:dyDescent="0.25">
      <c r="A42" s="14" t="s">
        <v>276</v>
      </c>
      <c r="B42" s="14" t="s">
        <v>48</v>
      </c>
      <c r="C42" s="14" t="s">
        <v>49</v>
      </c>
      <c r="D42" s="14" t="s">
        <v>1057</v>
      </c>
      <c r="E42" s="14" t="s">
        <v>1058</v>
      </c>
    </row>
    <row r="43" spans="1:5" x14ac:dyDescent="0.25">
      <c r="A43" s="14" t="s">
        <v>285</v>
      </c>
      <c r="B43" s="14" t="s">
        <v>1053</v>
      </c>
      <c r="C43" s="14" t="s">
        <v>1062</v>
      </c>
      <c r="D43" s="14" t="s">
        <v>1063</v>
      </c>
      <c r="E43" s="14" t="s">
        <v>1064</v>
      </c>
    </row>
    <row r="44" spans="1:5" x14ac:dyDescent="0.25">
      <c r="A44" s="14" t="s">
        <v>291</v>
      </c>
      <c r="B44" s="14" t="s">
        <v>1053</v>
      </c>
      <c r="C44" s="14" t="s">
        <v>1062</v>
      </c>
      <c r="D44" s="14" t="s">
        <v>1063</v>
      </c>
      <c r="E44" s="14" t="s">
        <v>1064</v>
      </c>
    </row>
    <row r="45" spans="1:5" x14ac:dyDescent="0.25">
      <c r="A45" s="14" t="s">
        <v>297</v>
      </c>
      <c r="B45" s="14" t="s">
        <v>48</v>
      </c>
      <c r="C45" s="14" t="s">
        <v>49</v>
      </c>
      <c r="D45" s="14" t="s">
        <v>1057</v>
      </c>
      <c r="E45" s="14" t="s">
        <v>1058</v>
      </c>
    </row>
    <row r="46" spans="1:5" x14ac:dyDescent="0.25">
      <c r="A46" s="14" t="s">
        <v>302</v>
      </c>
      <c r="B46" s="14" t="s">
        <v>48</v>
      </c>
      <c r="C46" s="14" t="s">
        <v>49</v>
      </c>
      <c r="D46" s="14" t="s">
        <v>1057</v>
      </c>
      <c r="E46" s="14" t="s">
        <v>1058</v>
      </c>
    </row>
    <row r="47" spans="1:5" x14ac:dyDescent="0.25">
      <c r="A47" s="14" t="s">
        <v>307</v>
      </c>
      <c r="B47" s="14" t="s">
        <v>1053</v>
      </c>
      <c r="C47" s="14" t="s">
        <v>1062</v>
      </c>
      <c r="D47" s="14" t="s">
        <v>1063</v>
      </c>
      <c r="E47" s="14" t="s">
        <v>1064</v>
      </c>
    </row>
    <row r="48" spans="1:5" x14ac:dyDescent="0.25">
      <c r="A48" s="14" t="s">
        <v>317</v>
      </c>
      <c r="B48" s="14" t="s">
        <v>48</v>
      </c>
      <c r="C48" s="14" t="s">
        <v>49</v>
      </c>
      <c r="D48" s="14" t="s">
        <v>1057</v>
      </c>
      <c r="E48" s="14" t="s">
        <v>1058</v>
      </c>
    </row>
    <row r="49" spans="1:5" x14ac:dyDescent="0.25">
      <c r="A49" s="14" t="s">
        <v>326</v>
      </c>
      <c r="B49" s="14" t="s">
        <v>48</v>
      </c>
      <c r="C49" s="14" t="s">
        <v>49</v>
      </c>
      <c r="D49" s="14" t="s">
        <v>1057</v>
      </c>
      <c r="E49" s="14" t="s">
        <v>1058</v>
      </c>
    </row>
    <row r="50" spans="1:5" x14ac:dyDescent="0.25">
      <c r="A50" s="14" t="s">
        <v>331</v>
      </c>
      <c r="B50" s="14" t="s">
        <v>48</v>
      </c>
      <c r="C50" s="14" t="s">
        <v>49</v>
      </c>
      <c r="D50" s="14" t="s">
        <v>1057</v>
      </c>
      <c r="E50" s="14" t="s">
        <v>1058</v>
      </c>
    </row>
    <row r="51" spans="1:5" x14ac:dyDescent="0.25">
      <c r="A51" s="14" t="s">
        <v>336</v>
      </c>
      <c r="B51" s="14" t="s">
        <v>48</v>
      </c>
      <c r="C51" s="14" t="s">
        <v>49</v>
      </c>
      <c r="D51" s="14" t="s">
        <v>1057</v>
      </c>
      <c r="E51" s="14" t="s">
        <v>1058</v>
      </c>
    </row>
    <row r="52" spans="1:5" x14ac:dyDescent="0.25">
      <c r="A52" s="14" t="s">
        <v>341</v>
      </c>
      <c r="B52" s="14" t="s">
        <v>48</v>
      </c>
      <c r="C52" s="14" t="s">
        <v>49</v>
      </c>
      <c r="D52" s="14" t="s">
        <v>1057</v>
      </c>
      <c r="E52" s="14" t="s">
        <v>1058</v>
      </c>
    </row>
    <row r="53" spans="1:5" x14ac:dyDescent="0.25">
      <c r="A53" s="14" t="s">
        <v>348</v>
      </c>
      <c r="B53" s="14" t="s">
        <v>48</v>
      </c>
      <c r="C53" s="14" t="s">
        <v>49</v>
      </c>
      <c r="D53" s="14" t="s">
        <v>1057</v>
      </c>
      <c r="E53" s="14" t="s">
        <v>1058</v>
      </c>
    </row>
    <row r="54" spans="1:5" x14ac:dyDescent="0.25">
      <c r="A54" s="14" t="s">
        <v>356</v>
      </c>
      <c r="B54" s="14" t="s">
        <v>48</v>
      </c>
      <c r="C54" s="14" t="s">
        <v>49</v>
      </c>
      <c r="D54" s="14" t="s">
        <v>1057</v>
      </c>
      <c r="E54" s="14" t="s">
        <v>1058</v>
      </c>
    </row>
    <row r="55" spans="1:5" x14ac:dyDescent="0.25">
      <c r="A55" s="14" t="s">
        <v>361</v>
      </c>
      <c r="B55" s="14" t="s">
        <v>48</v>
      </c>
      <c r="C55" s="14" t="s">
        <v>49</v>
      </c>
      <c r="D55" s="14" t="s">
        <v>1057</v>
      </c>
      <c r="E55" s="14" t="s">
        <v>1058</v>
      </c>
    </row>
    <row r="56" spans="1:5" x14ac:dyDescent="0.25">
      <c r="A56" s="14" t="s">
        <v>366</v>
      </c>
      <c r="B56" s="14" t="s">
        <v>48</v>
      </c>
      <c r="C56" s="14" t="s">
        <v>49</v>
      </c>
      <c r="D56" s="14" t="s">
        <v>1057</v>
      </c>
      <c r="E56" s="14" t="s">
        <v>1058</v>
      </c>
    </row>
    <row r="57" spans="1:5" x14ac:dyDescent="0.25">
      <c r="A57" s="14" t="s">
        <v>371</v>
      </c>
      <c r="B57" s="14" t="s">
        <v>48</v>
      </c>
      <c r="C57" s="14" t="s">
        <v>49</v>
      </c>
      <c r="D57" s="14" t="s">
        <v>1057</v>
      </c>
      <c r="E57" s="14" t="s">
        <v>1058</v>
      </c>
    </row>
    <row r="58" spans="1:5" x14ac:dyDescent="0.25">
      <c r="A58" s="14" t="s">
        <v>377</v>
      </c>
      <c r="B58" s="14" t="s">
        <v>48</v>
      </c>
      <c r="C58" s="14" t="s">
        <v>49</v>
      </c>
      <c r="D58" s="14" t="s">
        <v>1057</v>
      </c>
      <c r="E58" s="14" t="s">
        <v>1058</v>
      </c>
    </row>
    <row r="59" spans="1:5" x14ac:dyDescent="0.25">
      <c r="A59" s="14" t="s">
        <v>387</v>
      </c>
      <c r="B59" s="14" t="s">
        <v>48</v>
      </c>
      <c r="C59" s="14" t="s">
        <v>49</v>
      </c>
      <c r="D59" s="14" t="s">
        <v>1057</v>
      </c>
      <c r="E59" s="14" t="s">
        <v>1058</v>
      </c>
    </row>
    <row r="60" spans="1:5" x14ac:dyDescent="0.25">
      <c r="A60" s="14" t="s">
        <v>394</v>
      </c>
      <c r="B60" s="14" t="s">
        <v>48</v>
      </c>
      <c r="C60" s="14" t="s">
        <v>49</v>
      </c>
      <c r="D60" s="14" t="s">
        <v>1057</v>
      </c>
      <c r="E60" s="14" t="s">
        <v>1058</v>
      </c>
    </row>
    <row r="61" spans="1:5" x14ac:dyDescent="0.25">
      <c r="A61" s="14" t="s">
        <v>399</v>
      </c>
      <c r="B61" s="14" t="s">
        <v>48</v>
      </c>
      <c r="C61" s="14" t="s">
        <v>49</v>
      </c>
      <c r="D61" s="14" t="s">
        <v>1057</v>
      </c>
      <c r="E61" s="14" t="s">
        <v>1058</v>
      </c>
    </row>
    <row r="62" spans="1:5" x14ac:dyDescent="0.25">
      <c r="A62" s="14" t="s">
        <v>404</v>
      </c>
      <c r="B62" s="14" t="s">
        <v>48</v>
      </c>
      <c r="C62" s="14" t="s">
        <v>49</v>
      </c>
      <c r="D62" s="14" t="s">
        <v>1057</v>
      </c>
      <c r="E62" s="14" t="s">
        <v>1058</v>
      </c>
    </row>
    <row r="63" spans="1:5" x14ac:dyDescent="0.25">
      <c r="A63" s="14" t="s">
        <v>408</v>
      </c>
      <c r="B63" s="14" t="s">
        <v>48</v>
      </c>
      <c r="C63" s="14" t="s">
        <v>49</v>
      </c>
      <c r="D63" s="14" t="s">
        <v>1057</v>
      </c>
      <c r="E63" s="14" t="s">
        <v>1058</v>
      </c>
    </row>
    <row r="64" spans="1:5" x14ac:dyDescent="0.25">
      <c r="A64" s="14" t="s">
        <v>412</v>
      </c>
      <c r="B64" s="14" t="s">
        <v>48</v>
      </c>
      <c r="C64" s="14" t="s">
        <v>49</v>
      </c>
      <c r="D64" s="14" t="s">
        <v>1057</v>
      </c>
      <c r="E64" s="14" t="s">
        <v>1058</v>
      </c>
    </row>
    <row r="65" spans="1:5" x14ac:dyDescent="0.25">
      <c r="A65" s="14" t="s">
        <v>416</v>
      </c>
      <c r="B65" s="14" t="s">
        <v>48</v>
      </c>
      <c r="C65" s="14" t="s">
        <v>49</v>
      </c>
      <c r="D65" s="14" t="s">
        <v>1057</v>
      </c>
      <c r="E65" s="14" t="s">
        <v>1058</v>
      </c>
    </row>
    <row r="66" spans="1:5" x14ac:dyDescent="0.25">
      <c r="A66" s="14" t="s">
        <v>421</v>
      </c>
      <c r="B66" s="14" t="s">
        <v>48</v>
      </c>
      <c r="C66" s="14" t="s">
        <v>49</v>
      </c>
      <c r="D66" s="14" t="s">
        <v>1057</v>
      </c>
      <c r="E66" s="14" t="s">
        <v>1058</v>
      </c>
    </row>
    <row r="67" spans="1:5" x14ac:dyDescent="0.25">
      <c r="A67" s="14" t="s">
        <v>426</v>
      </c>
      <c r="B67" s="14" t="s">
        <v>48</v>
      </c>
      <c r="C67" s="14" t="s">
        <v>49</v>
      </c>
      <c r="D67" s="14" t="s">
        <v>1057</v>
      </c>
      <c r="E67" s="14" t="s">
        <v>1058</v>
      </c>
    </row>
    <row r="68" spans="1:5" x14ac:dyDescent="0.25">
      <c r="A68" s="14" t="s">
        <v>431</v>
      </c>
      <c r="B68" s="14" t="s">
        <v>48</v>
      </c>
      <c r="C68" s="14" t="s">
        <v>49</v>
      </c>
      <c r="D68" s="14" t="s">
        <v>1057</v>
      </c>
      <c r="E68" s="14" t="s">
        <v>1058</v>
      </c>
    </row>
    <row r="69" spans="1:5" x14ac:dyDescent="0.25">
      <c r="A69" s="14" t="s">
        <v>437</v>
      </c>
      <c r="B69" s="14" t="s">
        <v>48</v>
      </c>
      <c r="C69" s="14" t="s">
        <v>49</v>
      </c>
      <c r="D69" s="14" t="s">
        <v>1057</v>
      </c>
      <c r="E69" s="14" t="s">
        <v>1058</v>
      </c>
    </row>
    <row r="70" spans="1:5" x14ac:dyDescent="0.25">
      <c r="A70" s="14" t="s">
        <v>444</v>
      </c>
      <c r="B70" s="14" t="s">
        <v>48</v>
      </c>
      <c r="C70" s="14" t="s">
        <v>49</v>
      </c>
      <c r="D70" s="14" t="s">
        <v>1057</v>
      </c>
      <c r="E70" s="14" t="s">
        <v>1058</v>
      </c>
    </row>
    <row r="71" spans="1:5" x14ac:dyDescent="0.25">
      <c r="A71" s="14" t="s">
        <v>449</v>
      </c>
      <c r="B71" s="14" t="s">
        <v>48</v>
      </c>
      <c r="C71" s="14" t="s">
        <v>49</v>
      </c>
      <c r="D71" s="14" t="s">
        <v>1057</v>
      </c>
      <c r="E71" s="14" t="s">
        <v>1058</v>
      </c>
    </row>
    <row r="72" spans="1:5" x14ac:dyDescent="0.25">
      <c r="A72" s="14" t="s">
        <v>454</v>
      </c>
      <c r="B72" s="14" t="s">
        <v>48</v>
      </c>
      <c r="C72" s="14" t="s">
        <v>49</v>
      </c>
      <c r="D72" s="14" t="s">
        <v>1057</v>
      </c>
      <c r="E72" s="14" t="s">
        <v>1058</v>
      </c>
    </row>
    <row r="73" spans="1:5" x14ac:dyDescent="0.25">
      <c r="A73" s="14" t="s">
        <v>459</v>
      </c>
      <c r="B73" s="14" t="s">
        <v>48</v>
      </c>
      <c r="C73" s="14" t="s">
        <v>49</v>
      </c>
      <c r="D73" s="14" t="s">
        <v>1057</v>
      </c>
      <c r="E73" s="14" t="s">
        <v>1058</v>
      </c>
    </row>
    <row r="74" spans="1:5" x14ac:dyDescent="0.25">
      <c r="A74" s="14" t="s">
        <v>466</v>
      </c>
      <c r="B74" s="14" t="s">
        <v>48</v>
      </c>
      <c r="C74" s="14" t="s">
        <v>49</v>
      </c>
      <c r="D74" s="14" t="s">
        <v>1057</v>
      </c>
      <c r="E74" s="14" t="s">
        <v>1058</v>
      </c>
    </row>
    <row r="75" spans="1:5" x14ac:dyDescent="0.25">
      <c r="A75" s="14" t="s">
        <v>473</v>
      </c>
      <c r="B75" s="14" t="s">
        <v>48</v>
      </c>
      <c r="C75" s="14" t="s">
        <v>49</v>
      </c>
      <c r="D75" s="14" t="s">
        <v>1057</v>
      </c>
      <c r="E75" s="14" t="s">
        <v>1058</v>
      </c>
    </row>
    <row r="76" spans="1:5" x14ac:dyDescent="0.25">
      <c r="A76" s="14" t="s">
        <v>478</v>
      </c>
      <c r="B76" s="14" t="s">
        <v>48</v>
      </c>
      <c r="C76" s="14" t="s">
        <v>49</v>
      </c>
      <c r="D76" s="14" t="s">
        <v>1057</v>
      </c>
      <c r="E76" s="14" t="s">
        <v>1058</v>
      </c>
    </row>
    <row r="77" spans="1:5" x14ac:dyDescent="0.25">
      <c r="A77" s="14" t="s">
        <v>483</v>
      </c>
      <c r="B77" s="14" t="s">
        <v>48</v>
      </c>
      <c r="C77" s="14" t="s">
        <v>49</v>
      </c>
      <c r="D77" s="14" t="s">
        <v>1057</v>
      </c>
      <c r="E77" s="14" t="s">
        <v>1058</v>
      </c>
    </row>
    <row r="78" spans="1:5" x14ac:dyDescent="0.25">
      <c r="A78" s="14" t="s">
        <v>488</v>
      </c>
      <c r="B78" s="14" t="s">
        <v>48</v>
      </c>
      <c r="C78" s="14" t="s">
        <v>49</v>
      </c>
      <c r="D78" s="14" t="s">
        <v>1057</v>
      </c>
      <c r="E78" s="14" t="s">
        <v>1058</v>
      </c>
    </row>
    <row r="79" spans="1:5" x14ac:dyDescent="0.25">
      <c r="A79" s="14" t="s">
        <v>495</v>
      </c>
      <c r="B79" s="14" t="s">
        <v>48</v>
      </c>
      <c r="C79" s="14" t="s">
        <v>49</v>
      </c>
      <c r="D79" s="14" t="s">
        <v>1057</v>
      </c>
      <c r="E79" s="14" t="s">
        <v>1058</v>
      </c>
    </row>
    <row r="80" spans="1:5" x14ac:dyDescent="0.25">
      <c r="A80" s="14" t="s">
        <v>503</v>
      </c>
      <c r="B80" s="14" t="s">
        <v>48</v>
      </c>
      <c r="C80" s="14" t="s">
        <v>49</v>
      </c>
      <c r="D80" s="14" t="s">
        <v>1057</v>
      </c>
      <c r="E80" s="14" t="s">
        <v>1058</v>
      </c>
    </row>
    <row r="81" spans="1:5" x14ac:dyDescent="0.25">
      <c r="A81" s="14" t="s">
        <v>507</v>
      </c>
      <c r="B81" s="14" t="s">
        <v>48</v>
      </c>
      <c r="C81" s="14" t="s">
        <v>49</v>
      </c>
      <c r="D81" s="14" t="s">
        <v>1057</v>
      </c>
      <c r="E81" s="14" t="s">
        <v>1058</v>
      </c>
    </row>
    <row r="82" spans="1:5" x14ac:dyDescent="0.25">
      <c r="A82" s="14" t="s">
        <v>512</v>
      </c>
      <c r="B82" s="14" t="s">
        <v>48</v>
      </c>
      <c r="C82" s="14" t="s">
        <v>49</v>
      </c>
      <c r="D82" s="14" t="s">
        <v>1057</v>
      </c>
      <c r="E82" s="14" t="s">
        <v>1058</v>
      </c>
    </row>
    <row r="83" spans="1:5" x14ac:dyDescent="0.25">
      <c r="A83" s="14" t="s">
        <v>517</v>
      </c>
      <c r="B83" s="14" t="s">
        <v>48</v>
      </c>
      <c r="C83" s="14" t="s">
        <v>49</v>
      </c>
      <c r="D83" s="14" t="s">
        <v>1057</v>
      </c>
      <c r="E83" s="14" t="s">
        <v>1058</v>
      </c>
    </row>
    <row r="84" spans="1:5" x14ac:dyDescent="0.25">
      <c r="A84" s="14" t="s">
        <v>525</v>
      </c>
      <c r="B84" s="14" t="s">
        <v>48</v>
      </c>
      <c r="C84" s="14" t="s">
        <v>49</v>
      </c>
      <c r="D84" s="14" t="s">
        <v>1057</v>
      </c>
      <c r="E84" s="14" t="s">
        <v>1058</v>
      </c>
    </row>
    <row r="85" spans="1:5" x14ac:dyDescent="0.25">
      <c r="A85" s="14" t="s">
        <v>531</v>
      </c>
      <c r="B85" s="14" t="s">
        <v>48</v>
      </c>
      <c r="C85" s="14" t="s">
        <v>49</v>
      </c>
      <c r="D85" s="14" t="s">
        <v>1057</v>
      </c>
      <c r="E85" s="14" t="s">
        <v>1058</v>
      </c>
    </row>
    <row r="86" spans="1:5" x14ac:dyDescent="0.25">
      <c r="A86" s="14" t="s">
        <v>535</v>
      </c>
      <c r="B86" s="14" t="s">
        <v>48</v>
      </c>
      <c r="C86" s="14" t="s">
        <v>49</v>
      </c>
      <c r="D86" s="14" t="s">
        <v>1057</v>
      </c>
      <c r="E86" s="14" t="s">
        <v>1058</v>
      </c>
    </row>
    <row r="87" spans="1:5" x14ac:dyDescent="0.25">
      <c r="A87" s="14" t="s">
        <v>538</v>
      </c>
      <c r="B87" s="14" t="s">
        <v>48</v>
      </c>
      <c r="C87" s="14" t="s">
        <v>49</v>
      </c>
      <c r="D87" s="14" t="s">
        <v>1057</v>
      </c>
      <c r="E87" s="14" t="s">
        <v>1058</v>
      </c>
    </row>
    <row r="88" spans="1:5" x14ac:dyDescent="0.25">
      <c r="A88" s="14" t="s">
        <v>541</v>
      </c>
      <c r="B88" s="14" t="s">
        <v>48</v>
      </c>
      <c r="C88" s="14" t="s">
        <v>49</v>
      </c>
      <c r="D88" s="14" t="s">
        <v>1057</v>
      </c>
      <c r="E88" s="14" t="s">
        <v>1058</v>
      </c>
    </row>
    <row r="89" spans="1:5" x14ac:dyDescent="0.25">
      <c r="A89" s="14" t="s">
        <v>546</v>
      </c>
      <c r="B89" s="14" t="s">
        <v>48</v>
      </c>
      <c r="C89" s="14" t="s">
        <v>49</v>
      </c>
      <c r="D89" s="14" t="s">
        <v>1057</v>
      </c>
      <c r="E89" s="14" t="s">
        <v>1058</v>
      </c>
    </row>
    <row r="90" spans="1:5" x14ac:dyDescent="0.25">
      <c r="A90" s="14" t="s">
        <v>553</v>
      </c>
      <c r="B90" s="14" t="s">
        <v>48</v>
      </c>
      <c r="C90" s="14" t="s">
        <v>49</v>
      </c>
      <c r="D90" s="14" t="s">
        <v>1057</v>
      </c>
      <c r="E90" s="14" t="s">
        <v>1058</v>
      </c>
    </row>
    <row r="91" spans="1:5" x14ac:dyDescent="0.25">
      <c r="A91" s="14" t="s">
        <v>558</v>
      </c>
      <c r="B91" s="14" t="s">
        <v>48</v>
      </c>
      <c r="C91" s="14" t="s">
        <v>49</v>
      </c>
      <c r="D91" s="14" t="s">
        <v>1057</v>
      </c>
      <c r="E91" s="14" t="s">
        <v>1058</v>
      </c>
    </row>
    <row r="92" spans="1:5" x14ac:dyDescent="0.25">
      <c r="A92" s="14" t="s">
        <v>563</v>
      </c>
      <c r="B92" s="14" t="s">
        <v>48</v>
      </c>
      <c r="C92" s="14" t="s">
        <v>49</v>
      </c>
      <c r="D92" s="14" t="s">
        <v>1057</v>
      </c>
      <c r="E92" s="14" t="s">
        <v>1058</v>
      </c>
    </row>
    <row r="93" spans="1:5" x14ac:dyDescent="0.25">
      <c r="A93" s="14" t="s">
        <v>569</v>
      </c>
      <c r="B93" s="14" t="s">
        <v>48</v>
      </c>
      <c r="C93" s="14" t="s">
        <v>49</v>
      </c>
      <c r="D93" s="14" t="s">
        <v>1057</v>
      </c>
      <c r="E93" s="14" t="s">
        <v>1058</v>
      </c>
    </row>
    <row r="94" spans="1:5" x14ac:dyDescent="0.25">
      <c r="A94" s="14" t="s">
        <v>573</v>
      </c>
      <c r="B94" s="14" t="s">
        <v>48</v>
      </c>
      <c r="C94" s="14" t="s">
        <v>49</v>
      </c>
      <c r="D94" s="14" t="s">
        <v>1057</v>
      </c>
      <c r="E94" s="14" t="s">
        <v>1058</v>
      </c>
    </row>
    <row r="95" spans="1:5" x14ac:dyDescent="0.25">
      <c r="A95" s="14" t="s">
        <v>577</v>
      </c>
      <c r="B95" s="14" t="s">
        <v>48</v>
      </c>
      <c r="C95" s="14" t="s">
        <v>49</v>
      </c>
      <c r="D95" s="14" t="s">
        <v>1057</v>
      </c>
      <c r="E95" s="14" t="s">
        <v>1058</v>
      </c>
    </row>
    <row r="96" spans="1:5" x14ac:dyDescent="0.25">
      <c r="A96" s="14" t="s">
        <v>584</v>
      </c>
      <c r="B96" s="14" t="s">
        <v>48</v>
      </c>
      <c r="C96" s="14" t="s">
        <v>49</v>
      </c>
      <c r="D96" s="14" t="s">
        <v>1057</v>
      </c>
      <c r="E96" s="14" t="s">
        <v>1058</v>
      </c>
    </row>
    <row r="97" spans="1:5" x14ac:dyDescent="0.25">
      <c r="A97" s="14" t="s">
        <v>591</v>
      </c>
      <c r="B97" s="14" t="s">
        <v>48</v>
      </c>
      <c r="C97" s="14" t="s">
        <v>49</v>
      </c>
      <c r="D97" s="14" t="s">
        <v>1057</v>
      </c>
      <c r="E97" s="14" t="s">
        <v>1058</v>
      </c>
    </row>
    <row r="98" spans="1:5" x14ac:dyDescent="0.25">
      <c r="A98" s="14" t="s">
        <v>596</v>
      </c>
      <c r="B98" s="14" t="s">
        <v>48</v>
      </c>
      <c r="C98" s="14" t="s">
        <v>49</v>
      </c>
      <c r="D98" s="14" t="s">
        <v>1057</v>
      </c>
      <c r="E98" s="14" t="s">
        <v>1058</v>
      </c>
    </row>
    <row r="99" spans="1:5" x14ac:dyDescent="0.25">
      <c r="A99" s="14" t="s">
        <v>601</v>
      </c>
      <c r="B99" s="14" t="s">
        <v>48</v>
      </c>
      <c r="C99" s="14" t="s">
        <v>49</v>
      </c>
      <c r="D99" s="14" t="s">
        <v>1057</v>
      </c>
      <c r="E99" s="14" t="s">
        <v>1058</v>
      </c>
    </row>
    <row r="100" spans="1:5" x14ac:dyDescent="0.25">
      <c r="A100" s="14" t="s">
        <v>605</v>
      </c>
      <c r="B100" s="14" t="s">
        <v>48</v>
      </c>
      <c r="C100" s="14" t="s">
        <v>49</v>
      </c>
      <c r="D100" s="14" t="s">
        <v>1057</v>
      </c>
      <c r="E100" s="14" t="s">
        <v>1058</v>
      </c>
    </row>
    <row r="101" spans="1:5" x14ac:dyDescent="0.25">
      <c r="A101" s="14" t="s">
        <v>610</v>
      </c>
      <c r="B101" s="14" t="s">
        <v>48</v>
      </c>
      <c r="C101" s="14" t="s">
        <v>49</v>
      </c>
      <c r="D101" s="14" t="s">
        <v>1057</v>
      </c>
      <c r="E101" s="14" t="s">
        <v>1058</v>
      </c>
    </row>
    <row r="102" spans="1:5" x14ac:dyDescent="0.25">
      <c r="A102" s="14" t="s">
        <v>615</v>
      </c>
      <c r="B102" s="14" t="s">
        <v>48</v>
      </c>
      <c r="C102" s="14" t="s">
        <v>49</v>
      </c>
      <c r="D102" s="14" t="s">
        <v>1057</v>
      </c>
      <c r="E102" s="14" t="s">
        <v>1058</v>
      </c>
    </row>
    <row r="103" spans="1:5" x14ac:dyDescent="0.25">
      <c r="A103" s="14" t="s">
        <v>620</v>
      </c>
      <c r="B103" s="14" t="s">
        <v>48</v>
      </c>
      <c r="C103" s="14" t="s">
        <v>49</v>
      </c>
      <c r="D103" s="14" t="s">
        <v>1057</v>
      </c>
      <c r="E103" s="14" t="s">
        <v>1058</v>
      </c>
    </row>
    <row r="104" spans="1:5" x14ac:dyDescent="0.25">
      <c r="A104" s="14" t="s">
        <v>629</v>
      </c>
      <c r="B104" s="14" t="s">
        <v>48</v>
      </c>
      <c r="C104" s="14" t="s">
        <v>49</v>
      </c>
      <c r="D104" s="14" t="s">
        <v>1057</v>
      </c>
      <c r="E104" s="14" t="s">
        <v>1058</v>
      </c>
    </row>
    <row r="105" spans="1:5" x14ac:dyDescent="0.25">
      <c r="A105" s="14" t="s">
        <v>637</v>
      </c>
      <c r="B105" s="14" t="s">
        <v>48</v>
      </c>
      <c r="C105" s="14" t="s">
        <v>49</v>
      </c>
      <c r="D105" s="14" t="s">
        <v>1057</v>
      </c>
      <c r="E105" s="14" t="s">
        <v>1058</v>
      </c>
    </row>
    <row r="106" spans="1:5" x14ac:dyDescent="0.25">
      <c r="A106" s="14" t="s">
        <v>642</v>
      </c>
      <c r="B106" s="14" t="s">
        <v>48</v>
      </c>
      <c r="C106" s="14" t="s">
        <v>49</v>
      </c>
      <c r="D106" s="14" t="s">
        <v>1057</v>
      </c>
      <c r="E106" s="14" t="s">
        <v>1058</v>
      </c>
    </row>
    <row r="107" spans="1:5" x14ac:dyDescent="0.25">
      <c r="A107" s="14" t="s">
        <v>647</v>
      </c>
      <c r="B107" s="14" t="s">
        <v>48</v>
      </c>
      <c r="C107" s="14" t="s">
        <v>49</v>
      </c>
      <c r="D107" s="14" t="s">
        <v>1057</v>
      </c>
      <c r="E107" s="14" t="s">
        <v>1058</v>
      </c>
    </row>
    <row r="108" spans="1:5" x14ac:dyDescent="0.25">
      <c r="A108" s="14" t="s">
        <v>652</v>
      </c>
      <c r="B108" s="14" t="s">
        <v>48</v>
      </c>
      <c r="C108" s="14" t="s">
        <v>49</v>
      </c>
      <c r="D108" s="14" t="s">
        <v>1057</v>
      </c>
      <c r="E108" s="14" t="s">
        <v>1058</v>
      </c>
    </row>
    <row r="109" spans="1:5" x14ac:dyDescent="0.25">
      <c r="A109" s="14" t="s">
        <v>659</v>
      </c>
      <c r="B109" s="14" t="s">
        <v>48</v>
      </c>
      <c r="C109" s="14" t="s">
        <v>49</v>
      </c>
      <c r="D109" s="14" t="s">
        <v>1057</v>
      </c>
      <c r="E109" s="14" t="s">
        <v>1058</v>
      </c>
    </row>
    <row r="110" spans="1:5" x14ac:dyDescent="0.25">
      <c r="A110" s="14" t="s">
        <v>667</v>
      </c>
      <c r="B110" s="14" t="s">
        <v>48</v>
      </c>
      <c r="C110" s="14" t="s">
        <v>49</v>
      </c>
      <c r="D110" s="14" t="s">
        <v>1057</v>
      </c>
      <c r="E110" s="14" t="s">
        <v>1058</v>
      </c>
    </row>
    <row r="111" spans="1:5" x14ac:dyDescent="0.25">
      <c r="A111" s="14" t="s">
        <v>672</v>
      </c>
      <c r="B111" s="14" t="s">
        <v>48</v>
      </c>
      <c r="C111" s="14" t="s">
        <v>49</v>
      </c>
      <c r="D111" s="14" t="s">
        <v>1057</v>
      </c>
      <c r="E111" s="14" t="s">
        <v>1058</v>
      </c>
    </row>
    <row r="112" spans="1:5" x14ac:dyDescent="0.25">
      <c r="A112" s="14" t="s">
        <v>676</v>
      </c>
      <c r="B112" s="14" t="s">
        <v>48</v>
      </c>
      <c r="C112" s="14" t="s">
        <v>49</v>
      </c>
      <c r="D112" s="14" t="s">
        <v>1057</v>
      </c>
      <c r="E112" s="14" t="s">
        <v>1058</v>
      </c>
    </row>
    <row r="113" spans="1:5" x14ac:dyDescent="0.25">
      <c r="A113" s="14" t="s">
        <v>680</v>
      </c>
      <c r="B113" s="14" t="s">
        <v>48</v>
      </c>
      <c r="C113" s="14" t="s">
        <v>49</v>
      </c>
      <c r="D113" s="14" t="s">
        <v>1057</v>
      </c>
      <c r="E113" s="14" t="s">
        <v>1058</v>
      </c>
    </row>
    <row r="114" spans="1:5" x14ac:dyDescent="0.25">
      <c r="A114" s="14" t="s">
        <v>684</v>
      </c>
      <c r="B114" s="14" t="s">
        <v>48</v>
      </c>
      <c r="C114" s="14" t="s">
        <v>49</v>
      </c>
      <c r="D114" s="14" t="s">
        <v>1057</v>
      </c>
      <c r="E114" s="14" t="s">
        <v>1058</v>
      </c>
    </row>
    <row r="115" spans="1:5" x14ac:dyDescent="0.25">
      <c r="A115" s="14" t="s">
        <v>688</v>
      </c>
      <c r="B115" s="14" t="s">
        <v>48</v>
      </c>
      <c r="C115" s="14" t="s">
        <v>49</v>
      </c>
      <c r="D115" s="14" t="s">
        <v>1057</v>
      </c>
      <c r="E115" s="14" t="s">
        <v>1058</v>
      </c>
    </row>
    <row r="116" spans="1:5" x14ac:dyDescent="0.25">
      <c r="A116" s="14" t="s">
        <v>693</v>
      </c>
      <c r="B116" s="14" t="s">
        <v>48</v>
      </c>
      <c r="C116" s="14" t="s">
        <v>49</v>
      </c>
      <c r="D116" s="14" t="s">
        <v>1057</v>
      </c>
      <c r="E116" s="14" t="s">
        <v>1058</v>
      </c>
    </row>
    <row r="117" spans="1:5" x14ac:dyDescent="0.25">
      <c r="A117" s="14" t="s">
        <v>697</v>
      </c>
      <c r="B117" s="14" t="s">
        <v>48</v>
      </c>
      <c r="C117" s="14" t="s">
        <v>49</v>
      </c>
      <c r="D117" s="14" t="s">
        <v>1057</v>
      </c>
      <c r="E117" s="14" t="s">
        <v>1058</v>
      </c>
    </row>
    <row r="118" spans="1:5" x14ac:dyDescent="0.25">
      <c r="A118" s="14" t="s">
        <v>704</v>
      </c>
      <c r="B118" s="14" t="s">
        <v>48</v>
      </c>
      <c r="C118" s="14" t="s">
        <v>49</v>
      </c>
      <c r="D118" s="14" t="s">
        <v>1057</v>
      </c>
      <c r="E118" s="14" t="s">
        <v>1058</v>
      </c>
    </row>
    <row r="119" spans="1:5" x14ac:dyDescent="0.25">
      <c r="A119" s="14" t="s">
        <v>711</v>
      </c>
      <c r="B119" s="14" t="s">
        <v>48</v>
      </c>
      <c r="C119" s="14" t="s">
        <v>49</v>
      </c>
      <c r="D119" s="14" t="s">
        <v>1057</v>
      </c>
      <c r="E119" s="14" t="s">
        <v>1058</v>
      </c>
    </row>
    <row r="120" spans="1:5" x14ac:dyDescent="0.25">
      <c r="A120" s="14" t="s">
        <v>716</v>
      </c>
      <c r="B120" s="14" t="s">
        <v>48</v>
      </c>
      <c r="C120" s="14" t="s">
        <v>49</v>
      </c>
      <c r="D120" s="14" t="s">
        <v>1057</v>
      </c>
      <c r="E120" s="14" t="s">
        <v>1058</v>
      </c>
    </row>
    <row r="121" spans="1:5" x14ac:dyDescent="0.25">
      <c r="A121" s="14" t="s">
        <v>721</v>
      </c>
      <c r="B121" s="14" t="s">
        <v>48</v>
      </c>
      <c r="C121" s="14" t="s">
        <v>49</v>
      </c>
      <c r="D121" s="14" t="s">
        <v>1057</v>
      </c>
      <c r="E121" s="14" t="s">
        <v>1058</v>
      </c>
    </row>
    <row r="122" spans="1:5" x14ac:dyDescent="0.25">
      <c r="A122" s="14" t="s">
        <v>725</v>
      </c>
      <c r="B122" s="14" t="s">
        <v>48</v>
      </c>
      <c r="C122" s="14" t="s">
        <v>49</v>
      </c>
      <c r="D122" s="14" t="s">
        <v>1057</v>
      </c>
      <c r="E122" s="14" t="s">
        <v>1058</v>
      </c>
    </row>
    <row r="123" spans="1:5" x14ac:dyDescent="0.25">
      <c r="A123" s="14" t="s">
        <v>733</v>
      </c>
      <c r="B123" s="14" t="s">
        <v>48</v>
      </c>
      <c r="C123" s="14" t="s">
        <v>49</v>
      </c>
      <c r="D123" s="14" t="s">
        <v>1057</v>
      </c>
      <c r="E123" s="14" t="s">
        <v>1058</v>
      </c>
    </row>
    <row r="124" spans="1:5" x14ac:dyDescent="0.25">
      <c r="A124" s="14" t="s">
        <v>740</v>
      </c>
      <c r="B124" s="14" t="s">
        <v>48</v>
      </c>
      <c r="C124" s="14" t="s">
        <v>49</v>
      </c>
      <c r="D124" s="14" t="s">
        <v>1057</v>
      </c>
      <c r="E124" s="14" t="s">
        <v>1058</v>
      </c>
    </row>
    <row r="125" spans="1:5" x14ac:dyDescent="0.25">
      <c r="A125" s="14" t="s">
        <v>745</v>
      </c>
      <c r="B125" s="14" t="s">
        <v>48</v>
      </c>
      <c r="C125" s="14" t="s">
        <v>49</v>
      </c>
      <c r="D125" s="14" t="s">
        <v>1057</v>
      </c>
      <c r="E125" s="14" t="s">
        <v>1058</v>
      </c>
    </row>
    <row r="126" spans="1:5" x14ac:dyDescent="0.25">
      <c r="A126" s="14" t="s">
        <v>748</v>
      </c>
      <c r="B126" s="14" t="s">
        <v>48</v>
      </c>
      <c r="C126" s="14" t="s">
        <v>49</v>
      </c>
      <c r="D126" s="14" t="s">
        <v>1057</v>
      </c>
      <c r="E126" s="14" t="s">
        <v>1058</v>
      </c>
    </row>
    <row r="127" spans="1:5" x14ac:dyDescent="0.25">
      <c r="A127" s="14" t="s">
        <v>751</v>
      </c>
      <c r="B127" s="14" t="s">
        <v>48</v>
      </c>
      <c r="C127" s="14" t="s">
        <v>49</v>
      </c>
      <c r="D127" s="14" t="s">
        <v>1057</v>
      </c>
      <c r="E127" s="14" t="s">
        <v>1058</v>
      </c>
    </row>
    <row r="128" spans="1:5" x14ac:dyDescent="0.25">
      <c r="A128" s="14" t="s">
        <v>754</v>
      </c>
      <c r="B128" s="14" t="s">
        <v>48</v>
      </c>
      <c r="C128" s="14" t="s">
        <v>49</v>
      </c>
      <c r="D128" s="14" t="s">
        <v>1057</v>
      </c>
      <c r="E128" s="14" t="s">
        <v>1058</v>
      </c>
    </row>
    <row r="129" spans="1:5" x14ac:dyDescent="0.25">
      <c r="A129" s="14" t="s">
        <v>759</v>
      </c>
      <c r="B129" s="14" t="s">
        <v>48</v>
      </c>
      <c r="C129" s="14" t="s">
        <v>49</v>
      </c>
      <c r="D129" s="14" t="s">
        <v>1057</v>
      </c>
      <c r="E129" s="14" t="s">
        <v>1058</v>
      </c>
    </row>
    <row r="130" spans="1:5" x14ac:dyDescent="0.25">
      <c r="A130" s="14" t="s">
        <v>765</v>
      </c>
      <c r="B130" s="14" t="s">
        <v>48</v>
      </c>
      <c r="C130" s="14" t="s">
        <v>49</v>
      </c>
      <c r="D130" s="14" t="s">
        <v>1057</v>
      </c>
      <c r="E130" s="14" t="s">
        <v>1058</v>
      </c>
    </row>
    <row r="131" spans="1:5" x14ac:dyDescent="0.25">
      <c r="A131" s="14" t="s">
        <v>769</v>
      </c>
      <c r="B131" s="14" t="s">
        <v>48</v>
      </c>
      <c r="C131" s="14" t="s">
        <v>49</v>
      </c>
      <c r="D131" s="14" t="s">
        <v>1057</v>
      </c>
      <c r="E131" s="14" t="s">
        <v>1058</v>
      </c>
    </row>
    <row r="132" spans="1:5" x14ac:dyDescent="0.25">
      <c r="A132" s="14" t="s">
        <v>773</v>
      </c>
      <c r="B132" s="14" t="s">
        <v>48</v>
      </c>
      <c r="C132" s="14" t="s">
        <v>49</v>
      </c>
      <c r="D132" s="14" t="s">
        <v>1057</v>
      </c>
      <c r="E132" s="14" t="s">
        <v>1058</v>
      </c>
    </row>
    <row r="133" spans="1:5" x14ac:dyDescent="0.25">
      <c r="A133" s="14" t="s">
        <v>777</v>
      </c>
      <c r="B133" s="14" t="s">
        <v>48</v>
      </c>
      <c r="C133" s="14" t="s">
        <v>49</v>
      </c>
      <c r="D133" s="14" t="s">
        <v>1057</v>
      </c>
      <c r="E133" s="14" t="s">
        <v>1058</v>
      </c>
    </row>
    <row r="134" spans="1:5" x14ac:dyDescent="0.25">
      <c r="A134" s="14" t="s">
        <v>781</v>
      </c>
      <c r="B134" s="14" t="s">
        <v>48</v>
      </c>
      <c r="C134" s="14" t="s">
        <v>49</v>
      </c>
      <c r="D134" s="14" t="s">
        <v>1057</v>
      </c>
      <c r="E134" s="14" t="s">
        <v>1058</v>
      </c>
    </row>
    <row r="135" spans="1:5" x14ac:dyDescent="0.25">
      <c r="A135" s="14" t="s">
        <v>785</v>
      </c>
      <c r="B135" s="14" t="s">
        <v>48</v>
      </c>
      <c r="C135" s="14" t="s">
        <v>49</v>
      </c>
      <c r="D135" s="14" t="s">
        <v>1057</v>
      </c>
      <c r="E135" s="14" t="s">
        <v>1058</v>
      </c>
    </row>
    <row r="136" spans="1:5" x14ac:dyDescent="0.25">
      <c r="A136" s="14" t="s">
        <v>789</v>
      </c>
      <c r="B136" s="14" t="s">
        <v>48</v>
      </c>
      <c r="C136" s="14" t="s">
        <v>49</v>
      </c>
      <c r="D136" s="14" t="s">
        <v>1057</v>
      </c>
      <c r="E136" s="14" t="s">
        <v>1058</v>
      </c>
    </row>
    <row r="137" spans="1:5" x14ac:dyDescent="0.25">
      <c r="A137" s="14" t="s">
        <v>794</v>
      </c>
      <c r="B137" s="14" t="s">
        <v>801</v>
      </c>
      <c r="C137" s="14" t="s">
        <v>1065</v>
      </c>
      <c r="D137" s="14" t="s">
        <v>1066</v>
      </c>
      <c r="E137" s="14" t="s">
        <v>1067</v>
      </c>
    </row>
    <row r="138" spans="1:5" x14ac:dyDescent="0.25">
      <c r="A138" s="14" t="s">
        <v>805</v>
      </c>
      <c r="B138" s="14" t="s">
        <v>801</v>
      </c>
      <c r="C138" s="14" t="s">
        <v>1065</v>
      </c>
      <c r="D138" s="14" t="s">
        <v>1066</v>
      </c>
      <c r="E138" s="14" t="s">
        <v>1067</v>
      </c>
    </row>
    <row r="139" spans="1:5" x14ac:dyDescent="0.25">
      <c r="A139" s="14" t="s">
        <v>812</v>
      </c>
      <c r="B139" s="14" t="s">
        <v>801</v>
      </c>
      <c r="C139" s="14" t="s">
        <v>1065</v>
      </c>
      <c r="D139" s="14" t="s">
        <v>1066</v>
      </c>
      <c r="E139" s="14" t="s">
        <v>1067</v>
      </c>
    </row>
    <row r="140" spans="1:5" x14ac:dyDescent="0.25">
      <c r="A140" s="14" t="s">
        <v>819</v>
      </c>
      <c r="B140" s="14" t="s">
        <v>801</v>
      </c>
      <c r="C140" s="14" t="s">
        <v>1065</v>
      </c>
      <c r="D140" s="14" t="s">
        <v>1066</v>
      </c>
      <c r="E140" s="14" t="s">
        <v>1067</v>
      </c>
    </row>
    <row r="141" spans="1:5" x14ac:dyDescent="0.25">
      <c r="A141" s="14" t="s">
        <v>828</v>
      </c>
      <c r="B141" s="14" t="s">
        <v>48</v>
      </c>
      <c r="C141" s="14" t="s">
        <v>49</v>
      </c>
      <c r="D141" s="14" t="s">
        <v>1057</v>
      </c>
      <c r="E141" s="14" t="s">
        <v>1058</v>
      </c>
    </row>
    <row r="142" spans="1:5" x14ac:dyDescent="0.25">
      <c r="A142" s="14" t="s">
        <v>836</v>
      </c>
      <c r="B142" s="14" t="s">
        <v>48</v>
      </c>
      <c r="C142" s="14" t="s">
        <v>49</v>
      </c>
      <c r="D142" s="14" t="s">
        <v>1057</v>
      </c>
      <c r="E142" s="14" t="s">
        <v>1058</v>
      </c>
    </row>
    <row r="143" spans="1:5" x14ac:dyDescent="0.25">
      <c r="A143" s="14" t="s">
        <v>840</v>
      </c>
      <c r="B143" s="14" t="s">
        <v>48</v>
      </c>
      <c r="C143" s="14" t="s">
        <v>49</v>
      </c>
      <c r="D143" s="14" t="s">
        <v>1057</v>
      </c>
      <c r="E143" s="14" t="s">
        <v>1058</v>
      </c>
    </row>
    <row r="144" spans="1:5" x14ac:dyDescent="0.25">
      <c r="A144" s="14" t="s">
        <v>844</v>
      </c>
      <c r="B144" s="14" t="s">
        <v>48</v>
      </c>
      <c r="C144" s="14" t="s">
        <v>49</v>
      </c>
      <c r="D144" s="14" t="s">
        <v>1057</v>
      </c>
      <c r="E144" s="14" t="s">
        <v>1058</v>
      </c>
    </row>
    <row r="145" spans="1:5" x14ac:dyDescent="0.25">
      <c r="A145" s="14" t="s">
        <v>848</v>
      </c>
      <c r="B145" s="14" t="s">
        <v>48</v>
      </c>
      <c r="C145" s="14" t="s">
        <v>49</v>
      </c>
      <c r="D145" s="14" t="s">
        <v>1057</v>
      </c>
      <c r="E145" s="14" t="s">
        <v>1058</v>
      </c>
    </row>
    <row r="146" spans="1:5" x14ac:dyDescent="0.25">
      <c r="A146" s="14" t="s">
        <v>852</v>
      </c>
      <c r="B146" s="14" t="s">
        <v>48</v>
      </c>
      <c r="C146" s="14" t="s">
        <v>49</v>
      </c>
      <c r="D146" s="14" t="s">
        <v>1057</v>
      </c>
      <c r="E146" s="14" t="s">
        <v>1058</v>
      </c>
    </row>
    <row r="147" spans="1:5" x14ac:dyDescent="0.25">
      <c r="A147" s="14" t="s">
        <v>856</v>
      </c>
      <c r="B147" s="14" t="s">
        <v>48</v>
      </c>
      <c r="C147" s="14" t="s">
        <v>49</v>
      </c>
      <c r="D147" s="14" t="s">
        <v>1057</v>
      </c>
      <c r="E147" s="14" t="s">
        <v>1058</v>
      </c>
    </row>
    <row r="148" spans="1:5" x14ac:dyDescent="0.25">
      <c r="A148" s="14" t="s">
        <v>860</v>
      </c>
      <c r="B148" s="14" t="s">
        <v>801</v>
      </c>
      <c r="C148" s="14" t="s">
        <v>1065</v>
      </c>
      <c r="D148" s="14" t="s">
        <v>1066</v>
      </c>
      <c r="E148" s="14" t="s">
        <v>1067</v>
      </c>
    </row>
    <row r="149" spans="1:5" x14ac:dyDescent="0.25">
      <c r="A149" s="14" t="s">
        <v>869</v>
      </c>
      <c r="B149" s="14" t="s">
        <v>48</v>
      </c>
      <c r="C149" s="14" t="s">
        <v>49</v>
      </c>
      <c r="D149" s="14" t="s">
        <v>1057</v>
      </c>
      <c r="E149" s="14" t="s">
        <v>1058</v>
      </c>
    </row>
    <row r="150" spans="1:5" x14ac:dyDescent="0.25">
      <c r="A150" s="14" t="s">
        <v>875</v>
      </c>
      <c r="B150" s="14" t="s">
        <v>48</v>
      </c>
      <c r="C150" s="14" t="s">
        <v>49</v>
      </c>
      <c r="D150" s="14" t="s">
        <v>1057</v>
      </c>
      <c r="E150" s="14" t="s">
        <v>1058</v>
      </c>
    </row>
    <row r="151" spans="1:5" x14ac:dyDescent="0.25">
      <c r="A151" s="14" t="s">
        <v>879</v>
      </c>
      <c r="B151" s="14" t="s">
        <v>48</v>
      </c>
      <c r="C151" s="14" t="s">
        <v>49</v>
      </c>
      <c r="D151" s="14" t="s">
        <v>1057</v>
      </c>
      <c r="E151" s="14" t="s">
        <v>1058</v>
      </c>
    </row>
    <row r="152" spans="1:5" x14ac:dyDescent="0.25">
      <c r="A152" s="14" t="s">
        <v>883</v>
      </c>
      <c r="B152" s="14" t="s">
        <v>48</v>
      </c>
      <c r="C152" s="14" t="s">
        <v>49</v>
      </c>
      <c r="D152" s="14" t="s">
        <v>1057</v>
      </c>
      <c r="E152" s="14" t="s">
        <v>1058</v>
      </c>
    </row>
    <row r="153" spans="1:5" x14ac:dyDescent="0.25">
      <c r="A153" s="14" t="s">
        <v>887</v>
      </c>
      <c r="B153" s="14" t="s">
        <v>48</v>
      </c>
      <c r="C153" s="14" t="s">
        <v>49</v>
      </c>
      <c r="D153" s="14" t="s">
        <v>1057</v>
      </c>
      <c r="E153" s="14" t="s">
        <v>1058</v>
      </c>
    </row>
    <row r="154" spans="1:5" x14ac:dyDescent="0.25">
      <c r="A154" s="14" t="s">
        <v>891</v>
      </c>
      <c r="B154" s="14" t="s">
        <v>48</v>
      </c>
      <c r="C154" s="14" t="s">
        <v>49</v>
      </c>
      <c r="D154" s="14" t="s">
        <v>1057</v>
      </c>
      <c r="E154" s="14" t="s">
        <v>1058</v>
      </c>
    </row>
    <row r="155" spans="1:5" x14ac:dyDescent="0.25">
      <c r="A155" s="14" t="s">
        <v>895</v>
      </c>
      <c r="B155" s="14" t="s">
        <v>48</v>
      </c>
      <c r="C155" s="14" t="s">
        <v>49</v>
      </c>
      <c r="D155" s="14" t="s">
        <v>1057</v>
      </c>
      <c r="E155" s="14" t="s">
        <v>1058</v>
      </c>
    </row>
    <row r="156" spans="1:5" x14ac:dyDescent="0.25">
      <c r="A156" s="14" t="s">
        <v>899</v>
      </c>
      <c r="B156" s="14" t="s">
        <v>48</v>
      </c>
      <c r="C156" s="14" t="s">
        <v>49</v>
      </c>
      <c r="D156" s="14" t="s">
        <v>1057</v>
      </c>
      <c r="E156" s="14" t="s">
        <v>1058</v>
      </c>
    </row>
    <row r="157" spans="1:5" x14ac:dyDescent="0.25">
      <c r="A157" s="14" t="s">
        <v>903</v>
      </c>
      <c r="B157" s="14" t="s">
        <v>801</v>
      </c>
      <c r="C157" s="14" t="s">
        <v>1065</v>
      </c>
      <c r="D157" s="14" t="s">
        <v>1066</v>
      </c>
      <c r="E157" s="14" t="s">
        <v>1067</v>
      </c>
    </row>
    <row r="158" spans="1:5" x14ac:dyDescent="0.25">
      <c r="A158" s="14" t="s">
        <v>914</v>
      </c>
      <c r="B158" s="14" t="s">
        <v>48</v>
      </c>
      <c r="C158" s="14" t="s">
        <v>49</v>
      </c>
      <c r="D158" s="14" t="s">
        <v>1057</v>
      </c>
      <c r="E158" s="14" t="s">
        <v>1058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TEST-CASE</vt:lpstr>
      <vt:lpstr>LISTAS</vt:lpstr>
      <vt:lpstr>RESUMEN</vt:lpstr>
      <vt:lpstr>CONTROL_PROYECTO</vt:lpstr>
      <vt:lpstr>NO_BASELINE</vt:lpstr>
      <vt:lpstr>TRAZABILIDAD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QualityTrack — Matriz de Casos de Prueba QA — Baseline 157 + 1 derivado</dc:title>
  <dc:subject>Matriz QA alineada con PRD V2, Backlog V2, DB V2, Análisis QA, flujo, PM y decisiones D-1 a D-6</dc:subject>
  <dc:creator>openpyxl</dc:creator>
  <cp:lastModifiedBy>Maria Chiribao</cp:lastModifiedBy>
  <cp:revision>0</cp:revision>
  <dcterms:created xsi:type="dcterms:W3CDTF">2026-09-15T20:25:20Z</dcterms:created>
  <dcterms:modified xsi:type="dcterms:W3CDTF">2026-10-03T14:10:27Z</dcterms:modified>
  <dc:language>en-US</dc:language>
</cp:coreProperties>
</file>